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總覽" sheetId="1" state="visible" r:id="rId3"/>
    <sheet name="未重測_50A_550mV" sheetId="2" state="visible" r:id="rId4"/>
    <sheet name="未重測_50A_530mV" sheetId="3" state="visible" r:id="rId5"/>
    <sheet name="已重測_9-17後" sheetId="4" state="visible" r:id="rId6"/>
  </sheets>
  <definedNames>
    <definedName function="false" hidden="true" localSheetId="3" name="_xlnm._FilterDatabase" vbProcedure="false">'已重測_9-17後'!$A$1:$M$82</definedName>
    <definedName function="false" hidden="true" localSheetId="2" name="_xlnm._FilterDatabase" vbProcedure="false">未重測_50A_530mV!$A$1:$L$45</definedName>
    <definedName function="false" hidden="true" localSheetId="1" name="_xlnm._FilterDatabase" vbProcedure="false">未重測_50A_550mV!$A$1:$L$46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<sst xmlns="http://schemas.openxmlformats.org/spreadsheetml/2006/main" count="954" uniqueCount="254">
  <si>
    <r>
      <rPr>
        <b val="true"/>
        <sz val="13"/>
        <rFont val="Arial"/>
        <family val="0"/>
        <charset val="1"/>
      </rPr>
      <t xml:space="preserve">CP </t>
    </r>
    <r>
      <rPr>
        <b val="true"/>
        <sz val="13"/>
        <rFont val="Noto Sans CJK SC"/>
        <family val="2"/>
      </rPr>
      <t xml:space="preserve">重測追蹤總覽（資料至 </t>
    </r>
    <r>
      <rPr>
        <b val="true"/>
        <sz val="13"/>
        <rFont val="Arial"/>
        <family val="0"/>
        <charset val="1"/>
      </rPr>
      <t xml:space="preserve">2026-10-04 23:59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DailyReport 20260929 / 20261002 / 20261005</t>
    </r>
    <r>
      <rPr>
        <b val="true"/>
        <sz val="13"/>
        <rFont val="Noto Sans CJK SC"/>
        <family val="2"/>
      </rPr>
      <t xml:space="preserve">）</t>
    </r>
  </si>
  <si>
    <r>
      <rPr>
        <b val="true"/>
        <sz val="10"/>
        <color rgb="FFFFFFFF"/>
        <rFont val="Arial"/>
        <family val="0"/>
        <charset val="1"/>
      </rPr>
      <t xml:space="preserve">A. </t>
    </r>
    <r>
      <rPr>
        <b val="true"/>
        <sz val="10"/>
        <color rgb="FFFFFFFF"/>
        <rFont val="Noto Sans CJK SC"/>
        <family val="2"/>
      </rPr>
      <t xml:space="preserve">已重測（</t>
    </r>
    <r>
      <rPr>
        <b val="true"/>
        <sz val="10"/>
        <color rgb="FFFFFFFF"/>
        <rFont val="Arial"/>
        <family val="0"/>
        <charset val="1"/>
      </rPr>
      <t xml:space="preserve">9/17 </t>
    </r>
    <r>
      <rPr>
        <b val="true"/>
        <sz val="10"/>
        <color rgb="FFFFFFFF"/>
        <rFont val="Noto Sans CJK SC"/>
        <family val="2"/>
      </rPr>
      <t xml:space="preserve">後）</t>
    </r>
  </si>
  <si>
    <t xml:space="preserve">批數</t>
  </si>
  <si>
    <r>
      <rPr>
        <b val="true"/>
        <sz val="10"/>
        <color rgb="FFFFFFFF"/>
        <rFont val="Noto Sans CJK SC"/>
        <family val="2"/>
      </rPr>
      <t xml:space="preserve">平均原良率 </t>
    </r>
    <r>
      <rPr>
        <b val="true"/>
        <sz val="10"/>
        <color rgb="FFFFFFFF"/>
        <rFont val="Arial"/>
        <family val="0"/>
        <charset val="1"/>
      </rPr>
      <t xml:space="preserve">(%)</t>
    </r>
  </si>
  <si>
    <r>
      <rPr>
        <b val="true"/>
        <sz val="10"/>
        <color rgb="FFFFFFFF"/>
        <rFont val="Noto Sans CJK SC"/>
        <family val="2"/>
      </rPr>
      <t xml:space="preserve">平均重測良率 </t>
    </r>
    <r>
      <rPr>
        <b val="true"/>
        <sz val="10"/>
        <color rgb="FFFFFFFF"/>
        <rFont val="Arial"/>
        <family val="0"/>
        <charset val="1"/>
      </rPr>
      <t xml:space="preserve">(%)</t>
    </r>
  </si>
  <si>
    <r>
      <rPr>
        <b val="true"/>
        <sz val="10"/>
        <color rgb="FFFFFFFF"/>
        <rFont val="Noto Sans CJK SC"/>
        <family val="2"/>
      </rPr>
      <t xml:space="preserve">平均原 </t>
    </r>
    <r>
      <rPr>
        <b val="true"/>
        <sz val="10"/>
        <color rgb="FFFFFFFF"/>
        <rFont val="Arial"/>
        <family val="0"/>
        <charset val="1"/>
      </rPr>
      <t xml:space="preserve">DIR0 (%)</t>
    </r>
  </si>
  <si>
    <r>
      <rPr>
        <b val="true"/>
        <sz val="10"/>
        <color rgb="FFFFFFFF"/>
        <rFont val="Noto Sans CJK SC"/>
        <family val="2"/>
      </rPr>
      <t xml:space="preserve">平均重測 </t>
    </r>
    <r>
      <rPr>
        <b val="true"/>
        <sz val="10"/>
        <color rgb="FFFFFFFF"/>
        <rFont val="Arial"/>
        <family val="0"/>
        <charset val="1"/>
      </rPr>
      <t xml:space="preserve">DIR0 (%)</t>
    </r>
  </si>
  <si>
    <t xml:space="preserve">全部</t>
  </si>
  <si>
    <r>
      <rPr>
        <b val="true"/>
        <sz val="10"/>
        <color rgb="FFFFFFFF"/>
        <rFont val="Arial"/>
        <family val="0"/>
        <charset val="1"/>
      </rPr>
      <t xml:space="preserve">B. </t>
    </r>
    <r>
      <rPr>
        <b val="true"/>
        <sz val="10"/>
        <color rgb="FFFFFFFF"/>
        <rFont val="Noto Sans CJK SC"/>
        <family val="2"/>
      </rPr>
      <t xml:space="preserve">異常期未重測（</t>
    </r>
    <r>
      <rPr>
        <b val="true"/>
        <sz val="10"/>
        <color rgb="FFFFFFFF"/>
        <rFont val="Arial"/>
        <family val="0"/>
        <charset val="1"/>
      </rPr>
      <t xml:space="preserve">9/4 19:00 ~ 9/17 12:00</t>
    </r>
    <r>
      <rPr>
        <b val="true"/>
        <sz val="10"/>
        <color rgb="FFFFFFFF"/>
        <rFont val="Noto Sans CJK SC"/>
        <family val="2"/>
      </rPr>
      <t xml:space="preserve">，</t>
    </r>
    <r>
      <rPr>
        <b val="true"/>
        <sz val="10"/>
        <color rgb="FFFFFFFF"/>
        <rFont val="Arial"/>
        <family val="0"/>
        <charset val="1"/>
      </rPr>
      <t xml:space="preserve">1003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</si>
  <si>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Noto Sans CJK SC"/>
        <family val="2"/>
      </rPr>
      <t xml:space="preserve">平均良率 </t>
    </r>
    <r>
      <rPr>
        <b val="true"/>
        <sz val="10"/>
        <color rgb="FFFFFFFF"/>
        <rFont val="Arial"/>
        <family val="0"/>
        <charset val="1"/>
      </rPr>
      <t xml:space="preserve">(%)</t>
    </r>
  </si>
  <si>
    <r>
      <rPr>
        <b val="true"/>
        <sz val="10"/>
        <color rgb="FFFFFFFF"/>
        <rFont val="Arial"/>
        <family val="0"/>
        <charset val="1"/>
      </rPr>
      <t xml:space="preserve">DIR0 &gt; 5% </t>
    </r>
    <r>
      <rPr>
        <b val="true"/>
        <sz val="10"/>
        <color rgb="FFFFFFFF"/>
        <rFont val="Noto Sans CJK SC"/>
        <family val="2"/>
      </rPr>
      <t xml:space="preserve">批數</t>
    </r>
  </si>
  <si>
    <r>
      <rPr>
        <b val="true"/>
        <sz val="10"/>
        <color rgb="FFFFFFFF"/>
        <rFont val="Arial"/>
        <family val="0"/>
        <charset val="1"/>
      </rPr>
      <t xml:space="preserve">DIR0 &gt; 8% </t>
    </r>
    <r>
      <rPr>
        <b val="true"/>
        <sz val="10"/>
        <color rgb="FFFFFFFF"/>
        <rFont val="Noto Sans CJK SC"/>
        <family val="2"/>
      </rPr>
      <t xml:space="preserve">批數</t>
    </r>
  </si>
  <si>
    <r>
      <rPr>
        <b val="true"/>
        <sz val="10"/>
        <color rgb="FFFFFFFF"/>
        <rFont val="Arial"/>
        <family val="0"/>
        <charset val="1"/>
      </rPr>
      <t xml:space="preserve">DIR0 </t>
    </r>
    <r>
      <rPr>
        <b val="true"/>
        <sz val="10"/>
        <color rgb="FFFFFFFF"/>
        <rFont val="Noto Sans CJK SC"/>
        <family val="2"/>
      </rPr>
      <t xml:space="preserve">加權 </t>
    </r>
    <r>
      <rPr>
        <b val="true"/>
        <sz val="10"/>
        <color rgb="FFFFFFFF"/>
        <rFont val="Arial"/>
        <family val="0"/>
        <charset val="1"/>
      </rPr>
      <t xml:space="preserve">(%)</t>
    </r>
  </si>
  <si>
    <t xml:space="preserve">50A / 550mV</t>
  </si>
  <si>
    <r>
      <rPr>
        <sz val="10"/>
        <rFont val="Arial"/>
        <family val="0"/>
        <charset val="1"/>
      </rPr>
      <t xml:space="preserve">50A / 530mV</t>
    </r>
    <r>
      <rPr>
        <sz val="10"/>
        <rFont val="Noto Sans CJK SC"/>
        <family val="2"/>
      </rPr>
      <t xml:space="preserve">（不需重測）</t>
    </r>
  </si>
  <si>
    <t xml:space="preserve">35A / 570mV</t>
  </si>
  <si>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批已全數重測）</t>
    </r>
  </si>
  <si>
    <r>
      <rPr>
        <sz val="10"/>
        <rFont val="Arial"/>
        <family val="0"/>
        <charset val="1"/>
      </rPr>
      <t xml:space="preserve">C. 50A/550mV </t>
    </r>
    <r>
      <rPr>
        <sz val="10"/>
        <rFont val="Noto Sans CJK SC"/>
        <family val="2"/>
      </rPr>
      <t xml:space="preserve">切割推估</t>
    </r>
  </si>
  <si>
    <r>
      <rPr>
        <sz val="10"/>
        <rFont val="Noto Sans CJK SC"/>
        <family val="2"/>
      </rPr>
      <t xml:space="preserve">平均良率 </t>
    </r>
    <r>
      <rPr>
        <sz val="10"/>
        <rFont val="Arial"/>
        <family val="0"/>
        <charset val="1"/>
      </rPr>
      <t xml:space="preserve">(%)</t>
    </r>
  </si>
  <si>
    <r>
      <rPr>
        <sz val="10"/>
        <rFont val="Arial"/>
        <family val="0"/>
        <charset val="1"/>
      </rPr>
      <t xml:space="preserve">DIR0 &gt; 5% </t>
    </r>
    <r>
      <rPr>
        <sz val="10"/>
        <rFont val="Noto Sans CJK SC"/>
        <family val="2"/>
      </rPr>
      <t xml:space="preserve">批數</t>
    </r>
  </si>
  <si>
    <r>
      <rPr>
        <sz val="10"/>
        <rFont val="Arial"/>
        <family val="0"/>
        <charset val="1"/>
      </rPr>
      <t xml:space="preserve">DIR0 &gt; 8% </t>
    </r>
    <r>
      <rPr>
        <sz val="10"/>
        <rFont val="Noto Sans CJK SC"/>
        <family val="2"/>
      </rPr>
      <t xml:space="preserve">批數</t>
    </r>
  </si>
  <si>
    <r>
      <rPr>
        <sz val="10"/>
        <rFont val="Arial"/>
        <family val="0"/>
        <charset val="1"/>
      </rPr>
      <t xml:space="preserve">DIR0 </t>
    </r>
    <r>
      <rPr>
        <sz val="10"/>
        <rFont val="Noto Sans CJK SC"/>
        <family val="2"/>
      </rPr>
      <t xml:space="preserve">加權 </t>
    </r>
    <r>
      <rPr>
        <sz val="10"/>
        <rFont val="Arial"/>
        <family val="0"/>
        <charset val="1"/>
      </rPr>
      <t xml:space="preserve">(%)</t>
    </r>
  </si>
  <si>
    <r>
      <rPr>
        <b val="true"/>
        <sz val="10"/>
        <color rgb="FFFFFFFF"/>
        <rFont val="Arial"/>
        <family val="0"/>
        <charset val="1"/>
      </rPr>
      <t xml:space="preserve">A </t>
    </r>
    <r>
      <rPr>
        <b val="true"/>
        <sz val="10"/>
        <color rgb="FFFFFFFF"/>
        <rFont val="Noto Sans CJK SC"/>
        <family val="2"/>
      </rPr>
      <t xml:space="preserve">較可能已切割</t>
    </r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</si>
  <si>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可能未切割（在已重測範圍內）</t>
    </r>
  </si>
  <si>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可能未切割（批號較新）</t>
    </r>
  </si>
  <si>
    <t xml:space="preserve">無參考</t>
  </si>
  <si>
    <t xml:space="preserve">說明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</si>
  <si>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同批號以 </t>
    </r>
    <r>
      <rPr>
        <sz val="10"/>
        <rFont val="Arial"/>
        <family val="0"/>
        <charset val="1"/>
      </rPr>
      <t xml:space="preserve">Input (pcs) </t>
    </r>
    <r>
      <rPr>
        <sz val="10"/>
        <rFont val="Noto Sans CJK SC"/>
        <family val="2"/>
      </rPr>
      <t xml:space="preserve">達多數片的列為主；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片補測列不納入。良率為 </t>
    </r>
    <r>
      <rPr>
        <sz val="10"/>
        <rFont val="Arial"/>
        <family val="0"/>
        <charset val="1"/>
      </rPr>
      <t xml:space="preserve">Initial CP yield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DIR0 fail rate = DIR0 fail dies ÷ Total in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</si>
  <si>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切割推估依批號順序：以同型號已重測批號範圍（</t>
    </r>
    <r>
      <rPr>
        <sz val="10"/>
        <rFont val="Arial"/>
        <family val="0"/>
        <charset val="1"/>
      </rPr>
      <t xml:space="preserve">50A/550mV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RK32330 ~ RK32476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EK </t>
    </r>
    <r>
      <rPr>
        <sz val="10"/>
        <rFont val="Noto Sans CJK SC"/>
        <family val="2"/>
      </rPr>
      <t xml:space="preserve">僅 </t>
    </r>
    <r>
      <rPr>
        <sz val="10"/>
        <rFont val="Arial"/>
        <family val="0"/>
        <charset val="1"/>
      </rPr>
      <t xml:space="preserve">EK58925</t>
    </r>
    <r>
      <rPr>
        <sz val="10"/>
        <rFont val="Noto Sans CJK SC"/>
        <family val="2"/>
      </rPr>
      <t xml:space="preserve">）為參考，批號較小者較早投入、較可能已切割。為經驗推估，需至 </t>
    </r>
    <r>
      <rPr>
        <sz val="10"/>
        <rFont val="Arial"/>
        <family val="0"/>
        <charset val="1"/>
      </rPr>
      <t xml:space="preserve">MES </t>
    </r>
    <r>
      <rPr>
        <sz val="10"/>
        <rFont val="Noto Sans CJK SC"/>
        <family val="2"/>
      </rPr>
      <t xml:space="preserve">確認。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</si>
  <si>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未重測的 </t>
    </r>
    <r>
      <rPr>
        <sz val="10"/>
        <rFont val="Arial"/>
        <family val="0"/>
        <charset val="1"/>
      </rPr>
      <t xml:space="preserve">50A/550mV </t>
    </r>
    <r>
      <rPr>
        <sz val="10"/>
        <rFont val="Noto Sans CJK SC"/>
        <family val="2"/>
      </rPr>
      <t xml:space="preserve">中有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批原測於 </t>
    </r>
    <r>
      <rPr>
        <sz val="10"/>
        <rFont val="Arial"/>
        <family val="0"/>
        <charset val="1"/>
      </rPr>
      <t xml:space="preserve">9/4 ~ 9/6</t>
    </r>
    <r>
      <rPr>
        <sz val="10"/>
        <rFont val="Noto Sans CJK SC"/>
        <family val="2"/>
      </rPr>
      <t xml:space="preserve">，也可能已切割或被擱置，需向現場確認。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</si>
  <si>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批重測（</t>
    </r>
    <r>
      <rPr>
        <sz val="10"/>
        <rFont val="Arial"/>
        <family val="0"/>
        <charset val="1"/>
      </rPr>
      <t xml:space="preserve">RK32383 / RK32413 / RK32414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10/3 </t>
    </r>
    <r>
      <rPr>
        <sz val="10"/>
        <rFont val="Noto Sans CJK SC"/>
        <family val="2"/>
      </rPr>
      <t xml:space="preserve">於 </t>
    </r>
    <r>
      <rPr>
        <sz val="10"/>
        <rFont val="Arial"/>
        <family val="0"/>
        <charset val="1"/>
      </rPr>
      <t xml:space="preserve">2101</t>
    </r>
    <r>
      <rPr>
        <sz val="10"/>
        <rFont val="Noto Sans CJK SC"/>
        <family val="2"/>
      </rPr>
      <t xml:space="preserve">）重測後 </t>
    </r>
    <r>
      <rPr>
        <sz val="10"/>
        <rFont val="Arial"/>
        <family val="0"/>
        <charset val="1"/>
      </rPr>
      <t xml:space="preserve">DIR0 </t>
    </r>
    <r>
      <rPr>
        <sz val="10"/>
        <rFont val="Noto Sans CJK SC"/>
        <family val="2"/>
      </rPr>
      <t xml:space="preserve">仍有 </t>
    </r>
    <r>
      <rPr>
        <sz val="10"/>
        <rFont val="Arial"/>
        <family val="0"/>
        <charset val="1"/>
      </rPr>
      <t xml:space="preserve">2.6~4.6%</t>
    </r>
    <r>
      <rPr>
        <sz val="10"/>
        <rFont val="Noto Sans CJK SC"/>
        <family val="2"/>
      </rPr>
      <t xml:space="preserve">，增益 </t>
    </r>
    <r>
      <rPr>
        <sz val="10"/>
        <rFont val="Arial"/>
        <family val="0"/>
        <charset val="1"/>
      </rPr>
      <t xml:space="preserve">+2.7~+3.6 pt</t>
    </r>
    <r>
      <rPr>
        <sz val="10"/>
        <rFont val="Noto Sans CJK SC"/>
        <family val="2"/>
      </rPr>
      <t xml:space="preserve">，低於先前平均。</t>
    </r>
  </si>
  <si>
    <r>
      <rPr>
        <b val="true"/>
        <sz val="11"/>
        <rFont val="Arial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切割推估：</t>
    </r>
    <r>
      <rPr>
        <b val="true"/>
        <sz val="11"/>
        <rFont val="Arial"/>
        <family val="0"/>
        <charset val="1"/>
      </rPr>
      <t xml:space="preserve">A / B / C </t>
    </r>
    <r>
      <rPr>
        <b val="true"/>
        <sz val="11"/>
        <rFont val="Noto Sans CJK SC"/>
        <family val="2"/>
      </rPr>
      <t xml:space="preserve">如何區分</t>
    </r>
  </si>
  <si>
    <r>
      <rPr>
        <sz val="10"/>
        <rFont val="Noto Sans CJK SC"/>
        <family val="2"/>
      </rPr>
      <t xml:space="preserve">以「同 </t>
    </r>
    <r>
      <rPr>
        <sz val="10"/>
        <rFont val="Arial"/>
        <family val="0"/>
        <charset val="1"/>
      </rPr>
      <t xml:space="preserve">Type(A) + Type(mV) + </t>
    </r>
    <r>
      <rPr>
        <sz val="10"/>
        <rFont val="Noto Sans CJK SC"/>
        <family val="2"/>
      </rPr>
      <t xml:space="preserve">批號前綴」為一組，取該組已重測批號的最小與最大值，再比較每個未重測批的批號位置。</t>
    </r>
    <r>
      <rPr>
        <sz val="10"/>
        <rFont val="Arial"/>
        <family val="0"/>
        <charset val="1"/>
      </rPr>
      <t xml:space="preserve">50A/550mV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RK </t>
    </r>
    <r>
      <rPr>
        <sz val="10"/>
        <rFont val="Noto Sans CJK SC"/>
        <family val="2"/>
      </rPr>
      <t xml:space="preserve">組已重測範圍為 </t>
    </r>
    <r>
      <rPr>
        <sz val="10"/>
        <rFont val="Arial"/>
        <family val="0"/>
        <charset val="1"/>
      </rPr>
      <t xml:space="preserve">RK32330 ~ RK32476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EK </t>
    </r>
    <r>
      <rPr>
        <sz val="10"/>
        <rFont val="Noto Sans CJK SC"/>
        <family val="2"/>
      </rPr>
      <t xml:space="preserve">組僅 </t>
    </r>
    <r>
      <rPr>
        <sz val="10"/>
        <rFont val="Arial"/>
        <family val="0"/>
        <charset val="1"/>
      </rPr>
      <t xml:space="preserve">EK58925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NK </t>
    </r>
    <r>
      <rPr>
        <sz val="10"/>
        <rFont val="Noto Sans CJK SC"/>
        <family val="2"/>
      </rPr>
      <t xml:space="preserve">組無已重測批）。前提：批號越小越早投入、越早進入後段製程（含切割），為推論；批號與原測時間並非嚴格同序；</t>
    </r>
    <r>
      <rPr>
        <sz val="10"/>
        <rFont val="Arial"/>
        <family val="0"/>
        <charset val="1"/>
      </rPr>
      <t xml:space="preserve">B / C </t>
    </r>
    <r>
      <rPr>
        <sz val="10"/>
        <rFont val="Noto Sans CJK SC"/>
        <family val="2"/>
      </rPr>
      <t xml:space="preserve">不保證仍有 </t>
    </r>
    <r>
      <rPr>
        <sz val="10"/>
        <rFont val="Arial"/>
        <family val="0"/>
        <charset val="1"/>
      </rPr>
      <t xml:space="preserve">wafer</t>
    </r>
    <r>
      <rPr>
        <sz val="10"/>
        <rFont val="Noto Sans CJK SC"/>
        <family val="2"/>
      </rPr>
      <t xml:space="preserve">。</t>
    </r>
  </si>
  <si>
    <t xml:space="preserve">類別</t>
  </si>
  <si>
    <t xml:space="preserve">條件</t>
  </si>
  <si>
    <t xml:space="preserve">推論</t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</si>
  <si>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較可能已切割</t>
    </r>
  </si>
  <si>
    <r>
      <rPr>
        <sz val="10"/>
        <rFont val="Noto Sans CJK SC"/>
        <family val="2"/>
      </rPr>
      <t xml:space="preserve">批號 </t>
    </r>
    <r>
      <rPr>
        <sz val="10"/>
        <rFont val="Arial"/>
        <family val="0"/>
        <charset val="1"/>
      </rPr>
      <t xml:space="preserve">&lt; </t>
    </r>
    <r>
      <rPr>
        <sz val="10"/>
        <rFont val="Noto Sans CJK SC"/>
        <family val="2"/>
      </rPr>
      <t xml:space="preserve">最小已重測批號（</t>
    </r>
    <r>
      <rPr>
        <sz val="10"/>
        <rFont val="Arial"/>
        <family val="0"/>
        <charset val="1"/>
      </rPr>
      <t xml:space="preserve">RK &lt; 32330</t>
    </r>
    <r>
      <rPr>
        <sz val="10"/>
        <rFont val="Noto Sans CJK SC"/>
        <family val="2"/>
      </rPr>
      <t xml:space="preserve">）</t>
    </r>
  </si>
  <si>
    <t xml:space="preserve">批號小、較早投入，流程可能已走到切割</t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</si>
  <si>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可能仍可重測</t>
    </r>
  </si>
  <si>
    <r>
      <rPr>
        <sz val="10"/>
        <rFont val="Noto Sans CJK SC"/>
        <family val="2"/>
      </rPr>
      <t xml:space="preserve">批號落在已重測範圍內（</t>
    </r>
    <r>
      <rPr>
        <sz val="10"/>
        <rFont val="Arial"/>
        <family val="0"/>
        <charset val="1"/>
      </rPr>
      <t xml:space="preserve">RK32330 ~ 32476</t>
    </r>
    <r>
      <rPr>
        <sz val="10"/>
        <rFont val="Noto Sans CJK SC"/>
        <family val="2"/>
      </rPr>
      <t xml:space="preserve">）</t>
    </r>
  </si>
  <si>
    <t xml:space="preserve">前後批都能重測，可能只是尚未輪到</t>
  </si>
  <si>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可能仍可重測</t>
    </r>
  </si>
  <si>
    <r>
      <rPr>
        <sz val="10"/>
        <rFont val="Noto Sans CJK SC"/>
        <family val="2"/>
      </rPr>
      <t xml:space="preserve">批號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最大已重測批號（</t>
    </r>
    <r>
      <rPr>
        <sz val="10"/>
        <rFont val="Arial"/>
        <family val="0"/>
        <charset val="1"/>
      </rPr>
      <t xml:space="preserve">RK &gt; 32476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EK58927/58928</t>
    </r>
    <r>
      <rPr>
        <sz val="10"/>
        <rFont val="Noto Sans CJK SC"/>
        <family val="2"/>
      </rPr>
      <t xml:space="preserve">）</t>
    </r>
  </si>
  <si>
    <t xml:space="preserve">批號較新，流程較前面，較不可能已切割</t>
  </si>
  <si>
    <r>
      <rPr>
        <sz val="10"/>
        <rFont val="Noto Sans CJK SC"/>
        <family val="2"/>
      </rPr>
      <t xml:space="preserve">同前綴沒有已重測批（</t>
    </r>
    <r>
      <rPr>
        <sz val="10"/>
        <rFont val="Arial"/>
        <family val="0"/>
        <charset val="1"/>
      </rPr>
      <t xml:space="preserve">NK14045</t>
    </r>
    <r>
      <rPr>
        <sz val="10"/>
        <rFont val="Noto Sans CJK SC"/>
        <family val="2"/>
      </rPr>
      <t xml:space="preserve">）</t>
    </r>
  </si>
  <si>
    <t xml:space="preserve">無法比較</t>
  </si>
  <si>
    <t xml:space="preserve">Type(A)</t>
  </si>
  <si>
    <t xml:space="preserve">Type(mV)</t>
  </si>
  <si>
    <t xml:space="preserve">批號</t>
  </si>
  <si>
    <t xml:space="preserve">原測機台</t>
  </si>
  <si>
    <t xml:space="preserve">原測時間</t>
  </si>
  <si>
    <t xml:space="preserve">Input (pcs)</t>
  </si>
  <si>
    <t xml:space="preserve">Total in (dies)</t>
  </si>
  <si>
    <t xml:space="preserve">Initial CP yield (%)</t>
  </si>
  <si>
    <t xml:space="preserve">DIR0 fail (dies)</t>
  </si>
  <si>
    <t xml:space="preserve">DIR0 fail rate (%)</t>
  </si>
  <si>
    <t xml:space="preserve">切割推估</t>
  </si>
  <si>
    <t xml:space="preserve">備註</t>
  </si>
  <si>
    <t xml:space="preserve">50A</t>
  </si>
  <si>
    <t xml:space="preserve">550MV</t>
  </si>
  <si>
    <t xml:space="preserve">EK58927</t>
  </si>
  <si>
    <t xml:space="preserve">3380P-ATE-1003</t>
  </si>
  <si>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可能未切割（批號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已重測最大批號）</t>
    </r>
  </si>
  <si>
    <t xml:space="preserve">EK58928</t>
  </si>
  <si>
    <t xml:space="preserve">NK14045</t>
  </si>
  <si>
    <t xml:space="preserve">無參考（同前綴無已重測批）</t>
  </si>
  <si>
    <t xml:space="preserve">RK32295</t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</si>
  <si>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較可能已切割（批號 </t>
    </r>
    <r>
      <rPr>
        <sz val="10"/>
        <rFont val="Arial"/>
        <family val="0"/>
        <charset val="1"/>
      </rPr>
      <t xml:space="preserve">&lt; </t>
    </r>
    <r>
      <rPr>
        <sz val="10"/>
        <rFont val="Noto Sans CJK SC"/>
        <family val="2"/>
      </rPr>
      <t xml:space="preserve">同型號最小已重測批號）</t>
    </r>
  </si>
  <si>
    <t xml:space="preserve">RK32308</t>
  </si>
  <si>
    <t xml:space="preserve">RK32309</t>
  </si>
  <si>
    <t xml:space="preserve">RK32310</t>
  </si>
  <si>
    <t xml:space="preserve">DIR0 &gt; 5%</t>
  </si>
  <si>
    <t xml:space="preserve">RK32317</t>
  </si>
  <si>
    <t xml:space="preserve">RK32318</t>
  </si>
  <si>
    <t xml:space="preserve">RK32319</t>
  </si>
  <si>
    <t xml:space="preserve">RK32320</t>
  </si>
  <si>
    <t xml:space="preserve">RK32321</t>
  </si>
  <si>
    <t xml:space="preserve">RK32322</t>
  </si>
  <si>
    <t xml:space="preserve">RK32323</t>
  </si>
  <si>
    <t xml:space="preserve">RK32324</t>
  </si>
  <si>
    <t xml:space="preserve">RK32327</t>
  </si>
  <si>
    <t xml:space="preserve">RK32328</t>
  </si>
  <si>
    <t xml:space="preserve">RK32331</t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</si>
  <si>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可能未切割（批號在已重測範圍內）</t>
    </r>
  </si>
  <si>
    <t xml:space="preserve">RK32335</t>
  </si>
  <si>
    <t xml:space="preserve">RK32337</t>
  </si>
  <si>
    <t xml:space="preserve">RK32338</t>
  </si>
  <si>
    <t xml:space="preserve">RK32339</t>
  </si>
  <si>
    <t xml:space="preserve">RK32340</t>
  </si>
  <si>
    <t xml:space="preserve">RK32343</t>
  </si>
  <si>
    <t xml:space="preserve">RK32348</t>
  </si>
  <si>
    <t xml:space="preserve">RK32349</t>
  </si>
  <si>
    <t xml:space="preserve">RK32351</t>
  </si>
  <si>
    <t xml:space="preserve">RK32353</t>
  </si>
  <si>
    <t xml:space="preserve">RK32355</t>
  </si>
  <si>
    <t xml:space="preserve">RK32356</t>
  </si>
  <si>
    <t xml:space="preserve">RK32358</t>
  </si>
  <si>
    <t xml:space="preserve">RK32360</t>
  </si>
  <si>
    <t xml:space="preserve">RK32372</t>
  </si>
  <si>
    <t xml:space="preserve">RK32373</t>
  </si>
  <si>
    <t xml:space="preserve">RK32377</t>
  </si>
  <si>
    <t xml:space="preserve">RK32378</t>
  </si>
  <si>
    <t xml:space="preserve">RK32407</t>
  </si>
  <si>
    <t xml:space="preserve">RK32435</t>
  </si>
  <si>
    <r>
      <rPr>
        <b val="true"/>
        <sz val="10"/>
        <color rgb="FFC00000"/>
        <rFont val="Arial"/>
        <family val="0"/>
        <charset val="1"/>
      </rPr>
      <t xml:space="preserve">B </t>
    </r>
    <r>
      <rPr>
        <b val="true"/>
        <sz val="10"/>
        <color rgb="FFC00000"/>
        <rFont val="Noto Sans CJK SC"/>
        <family val="2"/>
      </rPr>
      <t xml:space="preserve">可能未切割（批號在已重測範圍內）</t>
    </r>
  </si>
  <si>
    <r>
      <rPr>
        <b val="true"/>
        <sz val="10"/>
        <color rgb="FFC00000"/>
        <rFont val="Arial"/>
        <family val="0"/>
        <charset val="1"/>
      </rPr>
      <t xml:space="preserve">DIR0 &gt; 8%</t>
    </r>
    <r>
      <rPr>
        <b val="true"/>
        <sz val="10"/>
        <color rgb="FFC00000"/>
        <rFont val="Noto Sans CJK SC"/>
        <family val="2"/>
      </rPr>
      <t xml:space="preserve">，建議最優先重測</t>
    </r>
  </si>
  <si>
    <t xml:space="preserve">RK32478</t>
  </si>
  <si>
    <t xml:space="preserve">RK32479</t>
  </si>
  <si>
    <t xml:space="preserve">RK32481</t>
  </si>
  <si>
    <t xml:space="preserve">RK32483</t>
  </si>
  <si>
    <t xml:space="preserve">RK32552</t>
  </si>
  <si>
    <r>
      <rPr>
        <b val="true"/>
        <sz val="10"/>
        <color rgb="FFC00000"/>
        <rFont val="Arial"/>
        <family val="0"/>
        <charset val="1"/>
      </rPr>
      <t xml:space="preserve">C </t>
    </r>
    <r>
      <rPr>
        <b val="true"/>
        <sz val="10"/>
        <color rgb="FFC00000"/>
        <rFont val="Noto Sans CJK SC"/>
        <family val="2"/>
      </rPr>
      <t xml:space="preserve">可能未切割（批號 </t>
    </r>
    <r>
      <rPr>
        <b val="true"/>
        <sz val="10"/>
        <color rgb="FFC00000"/>
        <rFont val="Arial"/>
        <family val="0"/>
        <charset val="1"/>
      </rPr>
      <t xml:space="preserve">&gt; </t>
    </r>
    <r>
      <rPr>
        <b val="true"/>
        <sz val="10"/>
        <color rgb="FFC00000"/>
        <rFont val="Noto Sans CJK SC"/>
        <family val="2"/>
      </rPr>
      <t xml:space="preserve">已重測最大批號）</t>
    </r>
  </si>
  <si>
    <t xml:space="preserve">RK32558</t>
  </si>
  <si>
    <t xml:space="preserve">RK32560</t>
  </si>
  <si>
    <t xml:space="preserve">530MV</t>
  </si>
  <si>
    <t xml:space="preserve">RK32229</t>
  </si>
  <si>
    <r>
      <rPr>
        <sz val="10"/>
        <rFont val="Noto Sans CJK SC"/>
        <family val="2"/>
      </rPr>
      <t xml:space="preserve">不需重測（</t>
    </r>
    <r>
      <rPr>
        <sz val="10"/>
        <rFont val="Arial"/>
        <family val="0"/>
        <charset val="1"/>
      </rPr>
      <t xml:space="preserve">DIR0 </t>
    </r>
    <r>
      <rPr>
        <sz val="10"/>
        <rFont val="Noto Sans CJK SC"/>
        <family val="2"/>
      </rPr>
      <t xml:space="preserve">正常）</t>
    </r>
  </si>
  <si>
    <t xml:space="preserve">RK32281</t>
  </si>
  <si>
    <t xml:space="preserve">RK32282</t>
  </si>
  <si>
    <t xml:space="preserve">RK32283</t>
  </si>
  <si>
    <t xml:space="preserve">RK32284</t>
  </si>
  <si>
    <t xml:space="preserve">RK32297</t>
  </si>
  <si>
    <t xml:space="preserve">RK32298</t>
  </si>
  <si>
    <t xml:space="preserve">RK32299</t>
  </si>
  <si>
    <t xml:space="preserve">RK32300</t>
  </si>
  <si>
    <t xml:space="preserve">RK32301</t>
  </si>
  <si>
    <t xml:space="preserve">RK32311</t>
  </si>
  <si>
    <t xml:space="preserve">RK32312</t>
  </si>
  <si>
    <t xml:space="preserve">RK32313</t>
  </si>
  <si>
    <t xml:space="preserve">RK32315</t>
  </si>
  <si>
    <t xml:space="preserve">RK32316</t>
  </si>
  <si>
    <t xml:space="preserve">RK32416</t>
  </si>
  <si>
    <t xml:space="preserve">RK32417</t>
  </si>
  <si>
    <t xml:space="preserve">RK32418</t>
  </si>
  <si>
    <t xml:space="preserve">RK32419</t>
  </si>
  <si>
    <t xml:space="preserve">RK32420</t>
  </si>
  <si>
    <t xml:space="preserve">RK32421</t>
  </si>
  <si>
    <t xml:space="preserve">RK32422</t>
  </si>
  <si>
    <t xml:space="preserve">RK32423</t>
  </si>
  <si>
    <t xml:space="preserve">RK32424</t>
  </si>
  <si>
    <t xml:space="preserve">RK32425</t>
  </si>
  <si>
    <t xml:space="preserve">RK32426</t>
  </si>
  <si>
    <t xml:space="preserve">RK32427</t>
  </si>
  <si>
    <t xml:space="preserve">RK32436</t>
  </si>
  <si>
    <t xml:space="preserve">RK32437</t>
  </si>
  <si>
    <t xml:space="preserve">RK32438</t>
  </si>
  <si>
    <t xml:space="preserve">RK32439</t>
  </si>
  <si>
    <t xml:space="preserve">RK32440</t>
  </si>
  <si>
    <t xml:space="preserve">RK32441</t>
  </si>
  <si>
    <t xml:space="preserve">RK32512</t>
  </si>
  <si>
    <t xml:space="preserve">RK32513</t>
  </si>
  <si>
    <t xml:space="preserve">RK32514</t>
  </si>
  <si>
    <t xml:space="preserve">RK32517</t>
  </si>
  <si>
    <t xml:space="preserve">RK32519</t>
  </si>
  <si>
    <t xml:space="preserve">RK32521</t>
  </si>
  <si>
    <t xml:space="preserve">RK32523</t>
  </si>
  <si>
    <t xml:space="preserve">RK32526</t>
  </si>
  <si>
    <t xml:space="preserve">RK32528</t>
  </si>
  <si>
    <t xml:space="preserve">RK32620</t>
  </si>
  <si>
    <t xml:space="preserve">RK32634</t>
  </si>
  <si>
    <r>
      <rPr>
        <b val="true"/>
        <sz val="10"/>
        <color rgb="FFFFFFFF"/>
        <rFont val="Noto Sans CJK SC"/>
        <family val="2"/>
      </rPr>
      <t xml:space="preserve">原測良率 </t>
    </r>
    <r>
      <rPr>
        <b val="true"/>
        <sz val="10"/>
        <color rgb="FFFFFFFF"/>
        <rFont val="Arial"/>
        <family val="0"/>
        <charset val="1"/>
      </rPr>
      <t xml:space="preserve">(%)</t>
    </r>
  </si>
  <si>
    <r>
      <rPr>
        <b val="true"/>
        <sz val="10"/>
        <color rgb="FFFFFFFF"/>
        <rFont val="Noto Sans CJK SC"/>
        <family val="2"/>
      </rPr>
      <t xml:space="preserve">原 </t>
    </r>
    <r>
      <rPr>
        <b val="true"/>
        <sz val="10"/>
        <color rgb="FFFFFFFF"/>
        <rFont val="Arial"/>
        <family val="0"/>
        <charset val="1"/>
      </rPr>
      <t xml:space="preserve">DIR0 (%)</t>
    </r>
  </si>
  <si>
    <t xml:space="preserve">重測時間</t>
  </si>
  <si>
    <t xml:space="preserve">重測機台</t>
  </si>
  <si>
    <r>
      <rPr>
        <b val="true"/>
        <sz val="10"/>
        <color rgb="FFFFFFFF"/>
        <rFont val="Noto Sans CJK SC"/>
        <family val="2"/>
      </rPr>
      <t xml:space="preserve">重測良率 </t>
    </r>
    <r>
      <rPr>
        <b val="true"/>
        <sz val="10"/>
        <color rgb="FFFFFFFF"/>
        <rFont val="Arial"/>
        <family val="0"/>
        <charset val="1"/>
      </rPr>
      <t xml:space="preserve">(%)</t>
    </r>
  </si>
  <si>
    <r>
      <rPr>
        <b val="true"/>
        <sz val="10"/>
        <color rgb="FFFFFFFF"/>
        <rFont val="Noto Sans CJK SC"/>
        <family val="2"/>
      </rPr>
      <t xml:space="preserve">重測 </t>
    </r>
    <r>
      <rPr>
        <b val="true"/>
        <sz val="10"/>
        <color rgb="FFFFFFFF"/>
        <rFont val="Arial"/>
        <family val="0"/>
        <charset val="1"/>
      </rPr>
      <t xml:space="preserve">DIR0 (%)</t>
    </r>
  </si>
  <si>
    <r>
      <rPr>
        <b val="true"/>
        <sz val="10"/>
        <color rgb="FFFFFFFF"/>
        <rFont val="Noto Sans CJK SC"/>
        <family val="2"/>
      </rPr>
      <t xml:space="preserve">良率變化 </t>
    </r>
    <r>
      <rPr>
        <b val="true"/>
        <sz val="10"/>
        <color rgb="FFFFFFFF"/>
        <rFont val="Arial"/>
        <family val="0"/>
        <charset val="1"/>
      </rPr>
      <t xml:space="preserve">(pt)</t>
    </r>
  </si>
  <si>
    <r>
      <rPr>
        <b val="true"/>
        <sz val="10"/>
        <color rgb="FFFFFFFF"/>
        <rFont val="Arial"/>
        <family val="0"/>
        <charset val="1"/>
      </rPr>
      <t xml:space="preserve">DIR0 </t>
    </r>
    <r>
      <rPr>
        <b val="true"/>
        <sz val="10"/>
        <color rgb="FFFFFFFF"/>
        <rFont val="Noto Sans CJK SC"/>
        <family val="2"/>
      </rPr>
      <t xml:space="preserve">變化 </t>
    </r>
    <r>
      <rPr>
        <b val="true"/>
        <sz val="10"/>
        <color rgb="FFFFFFFF"/>
        <rFont val="Arial"/>
        <family val="0"/>
        <charset val="1"/>
      </rPr>
      <t xml:space="preserve">(pt)</t>
    </r>
  </si>
  <si>
    <t xml:space="preserve">RK32344</t>
  </si>
  <si>
    <t xml:space="preserve">1003</t>
  </si>
  <si>
    <t xml:space="preserve">RK32369</t>
  </si>
  <si>
    <t xml:space="preserve">RK32341</t>
  </si>
  <si>
    <t xml:space="preserve">RK32354</t>
  </si>
  <si>
    <t xml:space="preserve">RK32350</t>
  </si>
  <si>
    <t xml:space="preserve">RK32371</t>
  </si>
  <si>
    <t xml:space="preserve">RK32357</t>
  </si>
  <si>
    <t xml:space="preserve">RK32361</t>
  </si>
  <si>
    <t xml:space="preserve">RK32448</t>
  </si>
  <si>
    <t xml:space="preserve">RK32359</t>
  </si>
  <si>
    <t xml:space="preserve">RK32370</t>
  </si>
  <si>
    <t xml:space="preserve">RK32374</t>
  </si>
  <si>
    <t xml:space="preserve">RK32376</t>
  </si>
  <si>
    <t xml:space="preserve">RK32379</t>
  </si>
  <si>
    <t xml:space="preserve">RK32460</t>
  </si>
  <si>
    <t xml:space="preserve">RK32429</t>
  </si>
  <si>
    <t xml:space="preserve">EK58925</t>
  </si>
  <si>
    <t xml:space="preserve">RK32330</t>
  </si>
  <si>
    <t xml:space="preserve">RK32432</t>
  </si>
  <si>
    <t xml:space="preserve">RK32430</t>
  </si>
  <si>
    <t xml:space="preserve">RK32375</t>
  </si>
  <si>
    <t xml:space="preserve">RK32433</t>
  </si>
  <si>
    <t xml:space="preserve">RK32434</t>
  </si>
  <si>
    <t xml:space="preserve">35A</t>
  </si>
  <si>
    <t xml:space="preserve">570MV</t>
  </si>
  <si>
    <t xml:space="preserve">RK32306</t>
  </si>
  <si>
    <t xml:space="preserve">RK32304</t>
  </si>
  <si>
    <t xml:space="preserve">RK32366</t>
  </si>
  <si>
    <t xml:space="preserve">RK32380</t>
  </si>
  <si>
    <t xml:space="preserve">2101</t>
  </si>
  <si>
    <t xml:space="preserve">RK32489</t>
  </si>
  <si>
    <t xml:space="preserve">RK32409</t>
  </si>
  <si>
    <t xml:space="preserve">RK32388</t>
  </si>
  <si>
    <t xml:space="preserve">RK32384</t>
  </si>
  <si>
    <t xml:space="preserve">RK32387</t>
  </si>
  <si>
    <t xml:space="preserve">RK32389</t>
  </si>
  <si>
    <t xml:space="preserve">RK32367</t>
  </si>
  <si>
    <t xml:space="preserve">RK32412</t>
  </si>
  <si>
    <t xml:space="preserve">RK32392</t>
  </si>
  <si>
    <t xml:space="preserve">RK32399</t>
  </si>
  <si>
    <t xml:space="preserve">RK32391</t>
  </si>
  <si>
    <t xml:space="preserve">RK32382</t>
  </si>
  <si>
    <t xml:space="preserve">RK32393</t>
  </si>
  <si>
    <t xml:space="preserve">RK32444</t>
  </si>
  <si>
    <t xml:space="preserve">RK32456</t>
  </si>
  <si>
    <t xml:space="preserve">RK32445</t>
  </si>
  <si>
    <t xml:space="preserve">RK32463</t>
  </si>
  <si>
    <t xml:space="preserve">RK32447</t>
  </si>
  <si>
    <t xml:space="preserve">RK32453</t>
  </si>
  <si>
    <t xml:space="preserve">RK32449</t>
  </si>
  <si>
    <t xml:space="preserve">RK32454</t>
  </si>
  <si>
    <t xml:space="preserve">RK32431</t>
  </si>
  <si>
    <t xml:space="preserve">RK32442</t>
  </si>
  <si>
    <t xml:space="preserve">RK32428</t>
  </si>
  <si>
    <t xml:space="preserve">RK32446</t>
  </si>
  <si>
    <t xml:space="preserve">RK32459</t>
  </si>
  <si>
    <t xml:space="preserve">RK32443</t>
  </si>
  <si>
    <t xml:space="preserve">RK32457</t>
  </si>
  <si>
    <t xml:space="preserve">RK32455</t>
  </si>
  <si>
    <t xml:space="preserve">RK32472</t>
  </si>
  <si>
    <t xml:space="preserve">RK32470</t>
  </si>
  <si>
    <t xml:space="preserve">RK32458</t>
  </si>
  <si>
    <t xml:space="preserve">RK32462</t>
  </si>
  <si>
    <t xml:space="preserve">RK32474</t>
  </si>
  <si>
    <t xml:space="preserve">RK32398</t>
  </si>
  <si>
    <t xml:space="preserve">RK32381</t>
  </si>
  <si>
    <t xml:space="preserve">RK32400</t>
  </si>
  <si>
    <t xml:space="preserve">RK32396</t>
  </si>
  <si>
    <t xml:space="preserve">RK32390</t>
  </si>
  <si>
    <t xml:space="preserve">RK32464</t>
  </si>
  <si>
    <t xml:space="preserve">RK32385</t>
  </si>
  <si>
    <t xml:space="preserve">RK32401</t>
  </si>
  <si>
    <t xml:space="preserve">RK32405</t>
  </si>
  <si>
    <t xml:space="preserve">RK32402</t>
  </si>
  <si>
    <t xml:space="preserve">RK32406</t>
  </si>
  <si>
    <t xml:space="preserve">RK32404</t>
  </si>
  <si>
    <t xml:space="preserve">RK32461</t>
  </si>
  <si>
    <t xml:space="preserve">RK32476</t>
  </si>
  <si>
    <t xml:space="preserve">RK32410</t>
  </si>
  <si>
    <t xml:space="preserve">RK32403</t>
  </si>
  <si>
    <t xml:space="preserve">RK32415</t>
  </si>
  <si>
    <t xml:space="preserve">RK32414</t>
  </si>
  <si>
    <t xml:space="preserve">RK32413</t>
  </si>
  <si>
    <t xml:space="preserve">RK32383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</si>
</sst>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0"/>
    <numFmt numFmtId="167" formatCode="General"/>
    <numFmt numFmtId="168" formatCode="yyyy\-mm\-dd\ hh:mm"/>
    <numFmt numFmtId="169" formatCode="#,##0"/>
    <numFmt numFmtId="170" formatCode="\+0.00;\-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name val="Noto Sans CJK SC"/>
      <family val="2"/>
    </font>
    <font>
      <b val="true"/>
      <sz val="11"/>
      <name val="Arial"/>
      <family val="0"/>
      <charset val="1"/>
    </font>
    <font>
      <b val="true"/>
      <sz val="11"/>
      <name val="Noto Sans CJK SC"/>
      <family val="2"/>
    </font>
    <font>
      <b val="true"/>
      <sz val="10"/>
      <color rgb="FFC00000"/>
      <name val="Arial"/>
      <family val="0"/>
      <charset val="1"/>
    </font>
    <font>
      <b val="true"/>
      <sz val="10"/>
      <color rgb="FFC0000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22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customFormat="false" ht="15" hidden="false" customHeight="false" outlineLevel="0" collapsed="false">
      <c r="A4" s="5" t="s">
        <v>7</v>
      </c>
      <c r="B4" s="6" t="n">
        <f aca="false">COUNTA('已重測_9-17後'!C2:C82)</f>
        <v>81</v>
      </c>
      <c r="C4" s="7" t="n">
        <f aca="false">AVERAGE('已重測_9-17後'!F2:F82)</f>
        <v>90.6875308641975</v>
      </c>
      <c r="D4" s="7" t="n">
        <f aca="false">AVERAGE('已重測_9-17後'!J2:J82)</f>
        <v>94.7907407407407</v>
      </c>
      <c r="E4" s="7" t="n">
        <f aca="false">AVERAGE('已重測_9-17後'!G2:G82)</f>
        <v>5.50722982584773</v>
      </c>
      <c r="F4" s="7" t="n">
        <f aca="false">AVERAGE('已重測_9-17後'!K2:K82)</f>
        <v>1.38506606113659</v>
      </c>
    </row>
    <row r="5" customFormat="false" ht="15" hidden="false" customHeight="false" outlineLevel="0" collapsed="false">
      <c r="A5" s="2"/>
      <c r="B5" s="6"/>
      <c r="C5" s="7"/>
      <c r="D5" s="7"/>
      <c r="E5" s="7"/>
      <c r="F5" s="7"/>
    </row>
    <row r="6" customFormat="false" ht="15" hidden="false" customHeight="false" outlineLevel="0" collapsed="false">
      <c r="A6" s="3" t="s">
        <v>8</v>
      </c>
      <c r="B6" s="8" t="s">
        <v>2</v>
      </c>
      <c r="C6" s="9" t="s">
        <v>9</v>
      </c>
      <c r="D6" s="10" t="s">
        <v>10</v>
      </c>
      <c r="E6" s="10" t="s">
        <v>11</v>
      </c>
      <c r="F6" s="10" t="s">
        <v>12</v>
      </c>
    </row>
    <row r="7" customFormat="false" ht="15" hidden="false" customHeight="false" outlineLevel="0" collapsed="false">
      <c r="A7" s="2" t="s">
        <v>13</v>
      </c>
      <c r="B7" s="6" t="n">
        <f aca="false">COUNTA(未重測_50A_550mV!C2:C46)</f>
        <v>45</v>
      </c>
      <c r="C7" s="7" t="n">
        <f aca="false">AVERAGE(未重測_50A_550mV!H2:H46)</f>
        <v>90.5875555555556</v>
      </c>
      <c r="D7" s="7" t="n">
        <f aca="false">COUNTIF(未重測_50A_550mV!J2:J46,"&gt;5")</f>
        <v>16</v>
      </c>
      <c r="E7" s="7" t="n">
        <f aca="false">COUNTIF(未重測_50A_550mV!J2:J46,"&gt;8")</f>
        <v>4</v>
      </c>
      <c r="F7" s="7" t="n">
        <f aca="false">SUM(未重測_50A_550mV!I2:I46)/SUM(未重測_50A_550mV!G2:G46)*100</f>
        <v>5.26795300953704</v>
      </c>
    </row>
    <row r="8" customFormat="false" ht="15" hidden="false" customHeight="false" outlineLevel="0" collapsed="false">
      <c r="A8" s="2" t="s">
        <v>14</v>
      </c>
      <c r="B8" s="6" t="n">
        <f aca="false">COUNTA(未重測_50A_530mV!C2:C45)</f>
        <v>44</v>
      </c>
      <c r="C8" s="7" t="n">
        <f aca="false">AVERAGE(未重測_50A_530mV!H2:H45)</f>
        <v>94.1790909090909</v>
      </c>
      <c r="D8" s="7" t="n">
        <f aca="false">COUNTIF(未重測_50A_530mV!J2:J45,"&gt;5")</f>
        <v>0</v>
      </c>
      <c r="E8" s="7" t="n">
        <f aca="false">COUNTIF(未重測_50A_530mV!J2:J45,"&gt;8")</f>
        <v>0</v>
      </c>
      <c r="F8" s="7" t="n">
        <f aca="false">SUM(未重測_50A_530mV!I2:I45)/SUM(未重測_50A_530mV!G2:G45)*100</f>
        <v>1.89857984471929</v>
      </c>
    </row>
    <row r="9" customFormat="false" ht="15" hidden="false" customHeight="false" outlineLevel="0" collapsed="false">
      <c r="A9" s="2" t="s">
        <v>15</v>
      </c>
      <c r="B9" s="6" t="s">
        <v>16</v>
      </c>
      <c r="C9" s="7"/>
      <c r="D9" s="7"/>
      <c r="E9" s="7"/>
      <c r="F9" s="7"/>
    </row>
    <row r="10" customFormat="false" ht="15" hidden="false" customHeight="false" outlineLevel="0" collapsed="false">
      <c r="A10" s="2"/>
      <c r="B10" s="6"/>
      <c r="C10" s="7"/>
      <c r="D10" s="7"/>
      <c r="E10" s="7"/>
      <c r="F10" s="7"/>
    </row>
    <row r="11" customFormat="false" ht="15" hidden="false" customHeight="false" outlineLevel="0" collapsed="false">
      <c r="A11" s="2" t="s">
        <v>17</v>
      </c>
      <c r="B11" s="11" t="s">
        <v>2</v>
      </c>
      <c r="C11" s="12" t="s">
        <v>18</v>
      </c>
      <c r="D11" s="7" t="s">
        <v>19</v>
      </c>
      <c r="E11" s="7" t="s">
        <v>20</v>
      </c>
      <c r="F11" s="7" t="s">
        <v>21</v>
      </c>
    </row>
    <row r="12" customFormat="false" ht="15" hidden="false" customHeight="false" outlineLevel="0" collapsed="false">
      <c r="A12" s="3" t="s">
        <v>22</v>
      </c>
      <c r="B12" s="8" t="n">
        <f aca="false">COUNTIF(未重測_50A_550mV!K2:K46,"A 較可能已切割（批號 &lt; 同型號最小已重測批號）")</f>
        <v>14</v>
      </c>
      <c r="C12" s="10" t="n">
        <f aca="false">AVERAGEIFS(未重測_50A_550mV!H2:H46,未重測_50A_550mV!K2:K46,"A 較可能已切割（批號 &lt; 同型號最小已重測批號）")</f>
        <v>90.3407142857143</v>
      </c>
      <c r="D12" s="10" t="n">
        <f aca="false">COUNTIFS(未重測_50A_550mV!K2:K46,"A 較可能已切割（批號 &lt; 同型號最小已重測批號）",未重測_50A_550mV!J2:J46,"&gt;5")</f>
        <v>3</v>
      </c>
      <c r="E12" s="10" t="n">
        <f aca="false">COUNTIFS(未重測_50A_550mV!K2:K46,"A 較可能已切割（批號 &lt; 同型號最小已重測批號）",未重測_50A_550mV!J2:J46,"&gt;8")</f>
        <v>0</v>
      </c>
      <c r="F12" s="10" t="n">
        <f aca="false">SUMIFS(未重測_50A_550mV!I2:I46,未重測_50A_550mV!K2:K46,"A 較可能已切割（批號 &lt; 同型號最小已重測批號）")/SUMIFS(未重測_50A_550mV!G2:G46,未重測_50A_550mV!K2:K46,"A 較可能已切割（批號 &lt; 同型號最小已重測批號）")*100</f>
        <v>4.67115558850177</v>
      </c>
    </row>
    <row r="13" customFormat="false" ht="15" hidden="false" customHeight="false" outlineLevel="0" collapsed="false">
      <c r="A13" s="2" t="s">
        <v>23</v>
      </c>
      <c r="B13" s="6" t="n">
        <f aca="false">COUNTIF(未重測_50A_550mV!K2:K46,"B 可能未切割（批號在已重測範圍內）")</f>
        <v>21</v>
      </c>
      <c r="C13" s="7" t="n">
        <f aca="false">AVERAGEIFS(未重測_50A_550mV!H2:H46,未重測_50A_550mV!K2:K46,"B 可能未切割（批號在已重測範圍內）")</f>
        <v>91.5761904761905</v>
      </c>
      <c r="D13" s="7" t="n">
        <f aca="false">COUNTIFS(未重測_50A_550mV!K2:K46,"B 可能未切割（批號在已重測範圍內）",未重測_50A_550mV!J2:J46,"&gt;5")</f>
        <v>6</v>
      </c>
      <c r="E13" s="7" t="n">
        <f aca="false">COUNTIFS(未重測_50A_550mV!K2:K46,"B 可能未切割（批號在已重測範圍內）",未重測_50A_550mV!J2:J46,"&gt;8")</f>
        <v>1</v>
      </c>
      <c r="F13" s="7" t="n">
        <f aca="false">SUMIFS(未重測_50A_550mV!I2:I46,未重測_50A_550mV!K2:K46,"B 可能未切割（批號在已重測範圍內）")/SUMIFS(未重測_50A_550mV!G2:G46,未重測_50A_550mV!K2:K46,"B 可能未切割（批號在已重測範圍內）")*100</f>
        <v>4.95852745536315</v>
      </c>
    </row>
    <row r="14" customFormat="false" ht="15" hidden="false" customHeight="false" outlineLevel="0" collapsed="false">
      <c r="A14" s="2" t="s">
        <v>24</v>
      </c>
      <c r="B14" s="6" t="n">
        <f aca="false">COUNTIF(未重測_50A_550mV!K2:K46,"C 可能未切割（批號 &gt; 已重測最大批號）")</f>
        <v>9</v>
      </c>
      <c r="C14" s="7" t="n">
        <f aca="false">AVERAGEIFS(未重測_50A_550mV!H2:H46,未重測_50A_550mV!K2:K46,"C 可能未切割（批號 &gt; 已重測最大批號）")</f>
        <v>88.81</v>
      </c>
      <c r="D14" s="7" t="n">
        <f aca="false">COUNTIFS(未重測_50A_550mV!K2:K46,"C 可能未切割（批號 &gt; 已重測最大批號）",未重測_50A_550mV!J2:J46,"&gt;5")</f>
        <v>7</v>
      </c>
      <c r="E14" s="7" t="n">
        <f aca="false">COUNTIFS(未重測_50A_550mV!K2:K46,"C 可能未切割（批號 &gt; 已重測最大批號）",未重測_50A_550mV!J2:J46,"&gt;8")</f>
        <v>3</v>
      </c>
      <c r="F14" s="7" t="n">
        <f aca="false">SUMIFS(未重測_50A_550mV!I2:I46,未重測_50A_550mV!K2:K46,"C 可能未切割（批號 &gt; 已重測最大批號）")/SUMIFS(未重測_50A_550mV!G2:G46,未重測_50A_550mV!K2:K46,"C 可能未切割（批號 &gt; 已重測最大批號）")*100</f>
        <v>6.96165884194053</v>
      </c>
    </row>
    <row r="15" customFormat="false" ht="15" hidden="false" customHeight="false" outlineLevel="0" collapsed="false">
      <c r="A15" s="5" t="s">
        <v>25</v>
      </c>
      <c r="B15" s="6" t="n">
        <f aca="false">COUNTIF(未重測_50A_550mV!K2:K46,"無參考（同前綴無已重測批）")</f>
        <v>1</v>
      </c>
      <c r="C15" s="7" t="n">
        <f aca="false">AVERAGEIFS(未重測_50A_550mV!H2:H46,未重測_50A_550mV!K2:K46,"無參考（同前綴無已重測批）")</f>
        <v>89.28</v>
      </c>
      <c r="D15" s="7" t="n">
        <f aca="false">COUNTIFS(未重測_50A_550mV!K2:K46,"無參考（同前綴無已重測批）",未重測_50A_550mV!J2:J46,"&gt;5")</f>
        <v>0</v>
      </c>
      <c r="E15" s="7" t="n">
        <f aca="false">COUNTIFS(未重測_50A_550mV!K2:K46,"無參考（同前綴無已重測批）",未重測_50A_550mV!J2:J46,"&gt;8")</f>
        <v>0</v>
      </c>
      <c r="F15" s="7" t="n">
        <f aca="false">SUMIFS(未重測_50A_550mV!I2:I46,未重測_50A_550mV!K2:K46,"無參考（同前綴無已重測批）")/SUMIFS(未重測_50A_550mV!G2:G46,未重測_50A_550mV!K2:K46,"無參考（同前綴無已重測批）")*100</f>
        <v>4.66197183098592</v>
      </c>
    </row>
    <row r="16" customFormat="false" ht="15" hidden="false" customHeight="false" outlineLevel="0" collapsed="false">
      <c r="A16" s="2"/>
      <c r="B16" s="6"/>
      <c r="C16" s="7"/>
      <c r="D16" s="7"/>
      <c r="E16" s="7"/>
      <c r="F16" s="7"/>
    </row>
    <row r="17" customFormat="false" ht="15" hidden="false" customHeight="false" outlineLevel="0" collapsed="false">
      <c r="A17" s="5" t="s">
        <v>26</v>
      </c>
      <c r="B17" s="2"/>
      <c r="C17" s="2"/>
      <c r="D17" s="2"/>
      <c r="E17" s="2"/>
      <c r="F17" s="2"/>
    </row>
    <row r="18" customFormat="false" ht="15" hidden="false" customHeight="false" outlineLevel="0" collapsed="false">
      <c r="A18" s="2" t="s">
        <v>27</v>
      </c>
      <c r="B18" s="2"/>
      <c r="C18" s="2"/>
      <c r="D18" s="2"/>
      <c r="E18" s="2"/>
      <c r="F18" s="2"/>
    </row>
    <row r="19" customFormat="false" ht="15" hidden="false" customHeight="false" outlineLevel="0" collapsed="false">
      <c r="A19" s="2" t="s">
        <v>28</v>
      </c>
      <c r="B19" s="2"/>
      <c r="C19" s="2"/>
      <c r="D19" s="2"/>
      <c r="E19" s="2"/>
      <c r="F19" s="2"/>
    </row>
    <row r="20" customFormat="false" ht="15" hidden="false" customHeight="false" outlineLevel="0" collapsed="false">
      <c r="A20" s="2" t="s">
        <v>29</v>
      </c>
      <c r="B20" s="2"/>
      <c r="C20" s="2"/>
      <c r="D20" s="2"/>
      <c r="E20" s="2"/>
      <c r="F20" s="2"/>
    </row>
    <row r="21" customFormat="false" ht="15" hidden="false" customHeight="false" outlineLevel="0" collapsed="false">
      <c r="A21" s="2" t="s">
        <v>30</v>
      </c>
      <c r="B21" s="2"/>
      <c r="C21" s="2"/>
      <c r="D21" s="2"/>
      <c r="E21" s="2"/>
      <c r="F21" s="2"/>
    </row>
    <row r="23" customFormat="false" ht="17.15" hidden="false" customHeight="false" outlineLevel="0" collapsed="false">
      <c r="A23" s="13" t="s">
        <v>31</v>
      </c>
    </row>
    <row r="24" customFormat="false" ht="60" hidden="false" customHeight="true" outlineLevel="0" collapsed="false">
      <c r="A24" s="14" t="s">
        <v>32</v>
      </c>
      <c r="B24" s="14"/>
      <c r="C24" s="14"/>
      <c r="D24" s="14"/>
      <c r="E24" s="14"/>
      <c r="F24" s="14"/>
    </row>
    <row r="25" customFormat="false" ht="15" hidden="false" customHeight="false" outlineLevel="0" collapsed="false">
      <c r="A25" s="15" t="s">
        <v>33</v>
      </c>
      <c r="B25" s="15" t="s">
        <v>34</v>
      </c>
      <c r="C25" s="15" t="s">
        <v>35</v>
      </c>
      <c r="D25" s="15" t="s">
        <v>2</v>
      </c>
    </row>
    <row r="26" customFormat="false" ht="31.5" hidden="false" customHeight="true" outlineLevel="0" collapsed="false">
      <c r="A26" s="16" t="s">
        <v>36</v>
      </c>
      <c r="B26" s="17" t="s">
        <v>37</v>
      </c>
      <c r="C26" s="17" t="s">
        <v>38</v>
      </c>
      <c r="D26" s="18" t="n">
        <f aca="false">COUNTIF(未重測_50A_550mV!K2:K46,"A*")</f>
        <v>14</v>
      </c>
    </row>
    <row r="27" customFormat="false" ht="31.5" hidden="false" customHeight="true" outlineLevel="0" collapsed="false">
      <c r="A27" s="16" t="s">
        <v>39</v>
      </c>
      <c r="B27" s="17" t="s">
        <v>40</v>
      </c>
      <c r="C27" s="17" t="s">
        <v>41</v>
      </c>
      <c r="D27" s="18" t="n">
        <f aca="false">COUNTIF(未重測_50A_550mV!K2:K46,"B*")</f>
        <v>21</v>
      </c>
    </row>
    <row r="28" customFormat="false" ht="31.5" hidden="false" customHeight="true" outlineLevel="0" collapsed="false">
      <c r="A28" s="16" t="s">
        <v>42</v>
      </c>
      <c r="B28" s="17" t="s">
        <v>43</v>
      </c>
      <c r="C28" s="17" t="s">
        <v>44</v>
      </c>
      <c r="D28" s="18" t="n">
        <f aca="false">COUNTIF(未重測_50A_550mV!K2:K46,"C*")</f>
        <v>9</v>
      </c>
    </row>
    <row r="29" customFormat="false" ht="31.5" hidden="false" customHeight="true" outlineLevel="0" collapsed="false">
      <c r="A29" s="17" t="s">
        <v>25</v>
      </c>
      <c r="B29" s="17" t="s">
        <v>45</v>
      </c>
      <c r="C29" s="17" t="s">
        <v>46</v>
      </c>
      <c r="D29" s="18" t="n">
        <f aca="false">COUNTIF(未重測_50A_550mV!K2:K46,"無參考*")</f>
        <v>1</v>
      </c>
    </row>
  </sheetData>
  <mergeCells count="1"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7"/>
    <col collapsed="false" customWidth="true" hidden="false" outlineLevel="0" max="6" min="6" style="0" width="11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42"/>
    <col collapsed="false" customWidth="true" hidden="false" outlineLevel="0" max="12" min="12" style="0" width="24"/>
  </cols>
  <sheetData>
    <row r="1" customFormat="false" ht="31.5" hidden="false" customHeight="true" outlineLevel="0" collapsed="false">
      <c r="A1" s="19" t="s">
        <v>47</v>
      </c>
      <c r="B1" s="19" t="s">
        <v>48</v>
      </c>
      <c r="C1" s="20" t="s">
        <v>49</v>
      </c>
      <c r="D1" s="20" t="s">
        <v>50</v>
      </c>
      <c r="E1" s="20" t="s">
        <v>51</v>
      </c>
      <c r="F1" s="19" t="s">
        <v>52</v>
      </c>
      <c r="G1" s="19" t="s">
        <v>53</v>
      </c>
      <c r="H1" s="19" t="s">
        <v>54</v>
      </c>
      <c r="I1" s="19" t="s">
        <v>55</v>
      </c>
      <c r="J1" s="19" t="s">
        <v>56</v>
      </c>
      <c r="K1" s="20" t="s">
        <v>57</v>
      </c>
      <c r="L1" s="20" t="s">
        <v>58</v>
      </c>
    </row>
    <row r="2" customFormat="false" ht="15" hidden="false" customHeight="false" outlineLevel="0" collapsed="false">
      <c r="A2" s="18" t="s">
        <v>59</v>
      </c>
      <c r="B2" s="18" t="s">
        <v>60</v>
      </c>
      <c r="C2" s="18" t="s">
        <v>61</v>
      </c>
      <c r="D2" s="18" t="s">
        <v>62</v>
      </c>
      <c r="E2" s="21" t="n">
        <v>46270.8869675926</v>
      </c>
      <c r="F2" s="18" t="n">
        <v>25</v>
      </c>
      <c r="G2" s="22" t="n">
        <v>14200</v>
      </c>
      <c r="H2" s="23" t="n">
        <v>93.26</v>
      </c>
      <c r="I2" s="22" t="n">
        <v>601</v>
      </c>
      <c r="J2" s="23" t="n">
        <f aca="false">I2/G2*100</f>
        <v>4.23239436619718</v>
      </c>
      <c r="K2" s="18" t="s">
        <v>63</v>
      </c>
      <c r="L2" s="18"/>
    </row>
    <row r="3" customFormat="false" ht="15" hidden="false" customHeight="false" outlineLevel="0" collapsed="false">
      <c r="A3" s="18" t="s">
        <v>59</v>
      </c>
      <c r="B3" s="18" t="s">
        <v>60</v>
      </c>
      <c r="C3" s="18" t="s">
        <v>64</v>
      </c>
      <c r="D3" s="18" t="s">
        <v>62</v>
      </c>
      <c r="E3" s="21" t="n">
        <v>46271.5466319445</v>
      </c>
      <c r="F3" s="18" t="n">
        <v>25</v>
      </c>
      <c r="G3" s="22" t="n">
        <v>14200</v>
      </c>
      <c r="H3" s="23" t="n">
        <v>92.92</v>
      </c>
      <c r="I3" s="22" t="n">
        <v>642</v>
      </c>
      <c r="J3" s="23" t="n">
        <f aca="false">I3/G3*100</f>
        <v>4.52112676056338</v>
      </c>
      <c r="K3" s="18" t="s">
        <v>63</v>
      </c>
      <c r="L3" s="18"/>
    </row>
    <row r="4" customFormat="false" ht="15" hidden="false" customHeight="false" outlineLevel="0" collapsed="false">
      <c r="A4" s="18" t="s">
        <v>59</v>
      </c>
      <c r="B4" s="18" t="s">
        <v>60</v>
      </c>
      <c r="C4" s="18" t="s">
        <v>65</v>
      </c>
      <c r="D4" s="18" t="s">
        <v>62</v>
      </c>
      <c r="E4" s="21" t="n">
        <v>46271.6514699074</v>
      </c>
      <c r="F4" s="18" t="n">
        <v>25</v>
      </c>
      <c r="G4" s="22" t="n">
        <v>14200</v>
      </c>
      <c r="H4" s="23" t="n">
        <v>89.28</v>
      </c>
      <c r="I4" s="22" t="n">
        <v>662</v>
      </c>
      <c r="J4" s="23" t="n">
        <f aca="false">I4/G4*100</f>
        <v>4.66197183098592</v>
      </c>
      <c r="K4" s="24" t="s">
        <v>66</v>
      </c>
      <c r="L4" s="24"/>
    </row>
    <row r="5" customFormat="false" ht="15" hidden="false" customHeight="false" outlineLevel="0" collapsed="false">
      <c r="A5" s="18" t="s">
        <v>59</v>
      </c>
      <c r="B5" s="18" t="s">
        <v>60</v>
      </c>
      <c r="C5" s="18" t="s">
        <v>67</v>
      </c>
      <c r="D5" s="18" t="s">
        <v>62</v>
      </c>
      <c r="E5" s="21" t="n">
        <v>46270.459212963</v>
      </c>
      <c r="F5" s="24" t="n">
        <v>23</v>
      </c>
      <c r="G5" s="22" t="n">
        <v>13064</v>
      </c>
      <c r="H5" s="23" t="n">
        <v>90.28</v>
      </c>
      <c r="I5" s="22" t="n">
        <v>578</v>
      </c>
      <c r="J5" s="23" t="n">
        <f aca="false">I5/G5*100</f>
        <v>4.42437232088181</v>
      </c>
      <c r="K5" s="18" t="s">
        <v>68</v>
      </c>
      <c r="L5" s="24"/>
    </row>
    <row r="6" customFormat="false" ht="15" hidden="false" customHeight="false" outlineLevel="0" collapsed="false">
      <c r="A6" s="18" t="s">
        <v>59</v>
      </c>
      <c r="B6" s="18" t="s">
        <v>60</v>
      </c>
      <c r="C6" s="18" t="s">
        <v>69</v>
      </c>
      <c r="D6" s="18" t="s">
        <v>62</v>
      </c>
      <c r="E6" s="21" t="n">
        <v>46270.5635648148</v>
      </c>
      <c r="F6" s="24" t="n">
        <v>25</v>
      </c>
      <c r="G6" s="22" t="n">
        <v>14200</v>
      </c>
      <c r="H6" s="23" t="n">
        <v>89.15</v>
      </c>
      <c r="I6" s="22" t="n">
        <v>667</v>
      </c>
      <c r="J6" s="23" t="n">
        <f aca="false">I6/G6*100</f>
        <v>4.69718309859155</v>
      </c>
      <c r="K6" s="18" t="s">
        <v>68</v>
      </c>
      <c r="L6" s="24"/>
    </row>
    <row r="7" customFormat="false" ht="15" hidden="false" customHeight="false" outlineLevel="0" collapsed="false">
      <c r="A7" s="18" t="s">
        <v>59</v>
      </c>
      <c r="B7" s="18" t="s">
        <v>60</v>
      </c>
      <c r="C7" s="18" t="s">
        <v>70</v>
      </c>
      <c r="D7" s="18" t="s">
        <v>62</v>
      </c>
      <c r="E7" s="21" t="n">
        <v>46270.3053009259</v>
      </c>
      <c r="F7" s="24" t="n">
        <v>25</v>
      </c>
      <c r="G7" s="22" t="n">
        <v>14200</v>
      </c>
      <c r="H7" s="23" t="n">
        <v>90.29</v>
      </c>
      <c r="I7" s="22" t="n">
        <v>639</v>
      </c>
      <c r="J7" s="23" t="n">
        <f aca="false">I7/G7*100</f>
        <v>4.5</v>
      </c>
      <c r="K7" s="18" t="s">
        <v>68</v>
      </c>
      <c r="L7" s="24"/>
    </row>
    <row r="8" customFormat="false" ht="15" hidden="false" customHeight="false" outlineLevel="0" collapsed="false">
      <c r="A8" s="18" t="s">
        <v>59</v>
      </c>
      <c r="B8" s="18" t="s">
        <v>60</v>
      </c>
      <c r="C8" s="18" t="s">
        <v>71</v>
      </c>
      <c r="D8" s="18" t="s">
        <v>62</v>
      </c>
      <c r="E8" s="21" t="n">
        <v>46270.510787037</v>
      </c>
      <c r="F8" s="24" t="n">
        <v>24</v>
      </c>
      <c r="G8" s="22" t="n">
        <v>13632</v>
      </c>
      <c r="H8" s="23" t="n">
        <v>89.95</v>
      </c>
      <c r="I8" s="22" t="n">
        <v>686</v>
      </c>
      <c r="J8" s="23" t="n">
        <f aca="false">I8/G8*100</f>
        <v>5.03227699530516</v>
      </c>
      <c r="K8" s="18" t="s">
        <v>68</v>
      </c>
      <c r="L8" s="18" t="s">
        <v>72</v>
      </c>
    </row>
    <row r="9" customFormat="false" ht="15" hidden="false" customHeight="false" outlineLevel="0" collapsed="false">
      <c r="A9" s="18" t="s">
        <v>59</v>
      </c>
      <c r="B9" s="18" t="s">
        <v>60</v>
      </c>
      <c r="C9" s="18" t="s">
        <v>73</v>
      </c>
      <c r="D9" s="18" t="s">
        <v>62</v>
      </c>
      <c r="E9" s="21" t="n">
        <v>46270.1521064815</v>
      </c>
      <c r="F9" s="24" t="n">
        <v>25</v>
      </c>
      <c r="G9" s="22" t="n">
        <v>14200</v>
      </c>
      <c r="H9" s="23" t="n">
        <v>89.01</v>
      </c>
      <c r="I9" s="22" t="n">
        <v>679</v>
      </c>
      <c r="J9" s="23" t="n">
        <f aca="false">I9/G9*100</f>
        <v>4.78169014084507</v>
      </c>
      <c r="K9" s="18" t="s">
        <v>68</v>
      </c>
      <c r="L9" s="24"/>
    </row>
    <row r="10" customFormat="false" ht="15" hidden="false" customHeight="false" outlineLevel="0" collapsed="false">
      <c r="A10" s="18" t="s">
        <v>59</v>
      </c>
      <c r="B10" s="18" t="s">
        <v>60</v>
      </c>
      <c r="C10" s="18" t="s">
        <v>74</v>
      </c>
      <c r="D10" s="18" t="s">
        <v>62</v>
      </c>
      <c r="E10" s="21" t="n">
        <v>46270.0952546296</v>
      </c>
      <c r="F10" s="24" t="n">
        <v>25</v>
      </c>
      <c r="G10" s="22" t="n">
        <v>14200</v>
      </c>
      <c r="H10" s="23" t="n">
        <v>90.57</v>
      </c>
      <c r="I10" s="22" t="n">
        <v>665</v>
      </c>
      <c r="J10" s="23" t="n">
        <f aca="false">I10/G10*100</f>
        <v>4.6830985915493</v>
      </c>
      <c r="K10" s="18" t="s">
        <v>68</v>
      </c>
      <c r="L10" s="24"/>
    </row>
    <row r="11" customFormat="false" ht="15" hidden="false" customHeight="false" outlineLevel="0" collapsed="false">
      <c r="A11" s="18" t="s">
        <v>59</v>
      </c>
      <c r="B11" s="18" t="s">
        <v>60</v>
      </c>
      <c r="C11" s="18" t="s">
        <v>75</v>
      </c>
      <c r="D11" s="18" t="s">
        <v>62</v>
      </c>
      <c r="E11" s="21" t="n">
        <v>46269.8777083333</v>
      </c>
      <c r="F11" s="24" t="n">
        <v>25</v>
      </c>
      <c r="G11" s="22" t="n">
        <v>14200</v>
      </c>
      <c r="H11" s="23" t="n">
        <v>90.7</v>
      </c>
      <c r="I11" s="22" t="n">
        <v>591</v>
      </c>
      <c r="J11" s="23" t="n">
        <f aca="false">I11/G11*100</f>
        <v>4.16197183098592</v>
      </c>
      <c r="K11" s="18" t="s">
        <v>68</v>
      </c>
      <c r="L11" s="24"/>
    </row>
    <row r="12" customFormat="false" ht="15" hidden="false" customHeight="false" outlineLevel="0" collapsed="false">
      <c r="A12" s="18" t="s">
        <v>59</v>
      </c>
      <c r="B12" s="18" t="s">
        <v>60</v>
      </c>
      <c r="C12" s="18" t="s">
        <v>76</v>
      </c>
      <c r="D12" s="18" t="s">
        <v>62</v>
      </c>
      <c r="E12" s="21" t="n">
        <v>46269.9820486111</v>
      </c>
      <c r="F12" s="24" t="n">
        <v>25</v>
      </c>
      <c r="G12" s="22" t="n">
        <v>14200</v>
      </c>
      <c r="H12" s="23" t="n">
        <v>91.12</v>
      </c>
      <c r="I12" s="22" t="n">
        <v>664</v>
      </c>
      <c r="J12" s="23" t="n">
        <f aca="false">I12/G12*100</f>
        <v>4.67605633802817</v>
      </c>
      <c r="K12" s="18" t="s">
        <v>68</v>
      </c>
      <c r="L12" s="24"/>
    </row>
    <row r="13" customFormat="false" ht="15" hidden="false" customHeight="false" outlineLevel="0" collapsed="false">
      <c r="A13" s="18" t="s">
        <v>59</v>
      </c>
      <c r="B13" s="18" t="s">
        <v>60</v>
      </c>
      <c r="C13" s="18" t="s">
        <v>77</v>
      </c>
      <c r="D13" s="18" t="s">
        <v>62</v>
      </c>
      <c r="E13" s="21" t="n">
        <v>46269.8186805556</v>
      </c>
      <c r="F13" s="24" t="n">
        <v>25</v>
      </c>
      <c r="G13" s="22" t="n">
        <v>14200</v>
      </c>
      <c r="H13" s="23" t="n">
        <v>91.06</v>
      </c>
      <c r="I13" s="22" t="n">
        <v>580</v>
      </c>
      <c r="J13" s="23" t="n">
        <f aca="false">I13/G13*100</f>
        <v>4.08450704225352</v>
      </c>
      <c r="K13" s="18" t="s">
        <v>68</v>
      </c>
      <c r="L13" s="24"/>
    </row>
    <row r="14" customFormat="false" ht="15" hidden="false" customHeight="false" outlineLevel="0" collapsed="false">
      <c r="A14" s="18" t="s">
        <v>59</v>
      </c>
      <c r="B14" s="18" t="s">
        <v>60</v>
      </c>
      <c r="C14" s="18" t="s">
        <v>78</v>
      </c>
      <c r="D14" s="18" t="s">
        <v>62</v>
      </c>
      <c r="E14" s="21" t="n">
        <v>46270.033900463</v>
      </c>
      <c r="F14" s="24" t="n">
        <v>25</v>
      </c>
      <c r="G14" s="22" t="n">
        <v>14200</v>
      </c>
      <c r="H14" s="23" t="n">
        <v>91.41</v>
      </c>
      <c r="I14" s="22" t="n">
        <v>554</v>
      </c>
      <c r="J14" s="23" t="n">
        <f aca="false">I14/G14*100</f>
        <v>3.90140845070423</v>
      </c>
      <c r="K14" s="18" t="s">
        <v>68</v>
      </c>
      <c r="L14" s="24"/>
    </row>
    <row r="15" customFormat="false" ht="15" hidden="false" customHeight="false" outlineLevel="0" collapsed="false">
      <c r="A15" s="18" t="s">
        <v>59</v>
      </c>
      <c r="B15" s="18" t="s">
        <v>60</v>
      </c>
      <c r="C15" s="18" t="s">
        <v>79</v>
      </c>
      <c r="D15" s="18" t="s">
        <v>62</v>
      </c>
      <c r="E15" s="21" t="n">
        <v>46270.1965625</v>
      </c>
      <c r="F15" s="24" t="n">
        <v>21</v>
      </c>
      <c r="G15" s="22" t="n">
        <v>11928</v>
      </c>
      <c r="H15" s="23" t="n">
        <v>91.92</v>
      </c>
      <c r="I15" s="22" t="n">
        <v>468</v>
      </c>
      <c r="J15" s="23" t="n">
        <f aca="false">I15/G15*100</f>
        <v>3.92354124748491</v>
      </c>
      <c r="K15" s="18" t="s">
        <v>68</v>
      </c>
      <c r="L15" s="24"/>
    </row>
    <row r="16" customFormat="false" ht="15" hidden="false" customHeight="false" outlineLevel="0" collapsed="false">
      <c r="A16" s="18" t="s">
        <v>59</v>
      </c>
      <c r="B16" s="18" t="s">
        <v>60</v>
      </c>
      <c r="C16" s="18" t="s">
        <v>80</v>
      </c>
      <c r="D16" s="18" t="s">
        <v>62</v>
      </c>
      <c r="E16" s="21" t="n">
        <v>46270.2531134259</v>
      </c>
      <c r="F16" s="24" t="n">
        <v>24</v>
      </c>
      <c r="G16" s="22" t="n">
        <v>13632</v>
      </c>
      <c r="H16" s="23" t="n">
        <v>86.17</v>
      </c>
      <c r="I16" s="22" t="n">
        <v>806</v>
      </c>
      <c r="J16" s="23" t="n">
        <f aca="false">I16/G16*100</f>
        <v>5.91255868544601</v>
      </c>
      <c r="K16" s="18" t="s">
        <v>68</v>
      </c>
      <c r="L16" s="18" t="s">
        <v>72</v>
      </c>
    </row>
    <row r="17" customFormat="false" ht="15" hidden="false" customHeight="false" outlineLevel="0" collapsed="false">
      <c r="A17" s="18" t="s">
        <v>59</v>
      </c>
      <c r="B17" s="18" t="s">
        <v>60</v>
      </c>
      <c r="C17" s="18" t="s">
        <v>81</v>
      </c>
      <c r="D17" s="18" t="s">
        <v>62</v>
      </c>
      <c r="E17" s="21" t="n">
        <v>46271.0857060185</v>
      </c>
      <c r="F17" s="24" t="n">
        <v>25</v>
      </c>
      <c r="G17" s="22" t="n">
        <v>14200</v>
      </c>
      <c r="H17" s="23" t="n">
        <v>90.77</v>
      </c>
      <c r="I17" s="22" t="n">
        <v>833</v>
      </c>
      <c r="J17" s="23" t="n">
        <f aca="false">I17/G17*100</f>
        <v>5.86619718309859</v>
      </c>
      <c r="K17" s="18" t="s">
        <v>68</v>
      </c>
      <c r="L17" s="18" t="s">
        <v>72</v>
      </c>
    </row>
    <row r="18" customFormat="false" ht="15" hidden="false" customHeight="false" outlineLevel="0" collapsed="false">
      <c r="A18" s="18" t="s">
        <v>59</v>
      </c>
      <c r="B18" s="18" t="s">
        <v>60</v>
      </c>
      <c r="C18" s="18" t="s">
        <v>82</v>
      </c>
      <c r="D18" s="18" t="s">
        <v>62</v>
      </c>
      <c r="E18" s="21" t="n">
        <v>46270.9897453704</v>
      </c>
      <c r="F18" s="24" t="n">
        <v>25</v>
      </c>
      <c r="G18" s="22" t="n">
        <v>14200</v>
      </c>
      <c r="H18" s="23" t="n">
        <v>92.37</v>
      </c>
      <c r="I18" s="22" t="n">
        <v>664</v>
      </c>
      <c r="J18" s="23" t="n">
        <f aca="false">I18/G18*100</f>
        <v>4.67605633802817</v>
      </c>
      <c r="K18" s="18" t="s">
        <v>68</v>
      </c>
      <c r="L18" s="24"/>
    </row>
    <row r="19" customFormat="false" ht="15" hidden="false" customHeight="false" outlineLevel="0" collapsed="false">
      <c r="A19" s="18" t="s">
        <v>59</v>
      </c>
      <c r="B19" s="18" t="s">
        <v>60</v>
      </c>
      <c r="C19" s="18" t="s">
        <v>83</v>
      </c>
      <c r="D19" s="18" t="s">
        <v>62</v>
      </c>
      <c r="E19" s="21" t="n">
        <v>46270.3575347222</v>
      </c>
      <c r="F19" s="24" t="n">
        <v>25</v>
      </c>
      <c r="G19" s="22" t="n">
        <v>14200</v>
      </c>
      <c r="H19" s="23" t="n">
        <v>90.64</v>
      </c>
      <c r="I19" s="22" t="n">
        <v>545</v>
      </c>
      <c r="J19" s="23" t="n">
        <f aca="false">I19/G19*100</f>
        <v>3.83802816901408</v>
      </c>
      <c r="K19" s="18" t="s">
        <v>84</v>
      </c>
      <c r="L19" s="24"/>
    </row>
    <row r="20" customFormat="false" ht="15" hidden="false" customHeight="false" outlineLevel="0" collapsed="false">
      <c r="A20" s="18" t="s">
        <v>59</v>
      </c>
      <c r="B20" s="18" t="s">
        <v>60</v>
      </c>
      <c r="C20" s="18" t="s">
        <v>85</v>
      </c>
      <c r="D20" s="18" t="s">
        <v>62</v>
      </c>
      <c r="E20" s="21" t="n">
        <v>46269.9300810185</v>
      </c>
      <c r="F20" s="24" t="n">
        <v>25</v>
      </c>
      <c r="G20" s="22" t="n">
        <v>14200</v>
      </c>
      <c r="H20" s="23" t="n">
        <v>90.46</v>
      </c>
      <c r="I20" s="22" t="n">
        <v>565</v>
      </c>
      <c r="J20" s="23" t="n">
        <f aca="false">I20/G20*100</f>
        <v>3.97887323943662</v>
      </c>
      <c r="K20" s="18" t="s">
        <v>84</v>
      </c>
      <c r="L20" s="24"/>
    </row>
    <row r="21" customFormat="false" ht="15" hidden="false" customHeight="false" outlineLevel="0" collapsed="false">
      <c r="A21" s="18" t="s">
        <v>59</v>
      </c>
      <c r="B21" s="18" t="s">
        <v>60</v>
      </c>
      <c r="C21" s="18" t="s">
        <v>86</v>
      </c>
      <c r="D21" s="18" t="s">
        <v>62</v>
      </c>
      <c r="E21" s="21" t="n">
        <v>46270.6225694444</v>
      </c>
      <c r="F21" s="24" t="n">
        <v>24</v>
      </c>
      <c r="G21" s="22" t="n">
        <v>13632</v>
      </c>
      <c r="H21" s="23" t="n">
        <v>91.15</v>
      </c>
      <c r="I21" s="22" t="n">
        <v>543</v>
      </c>
      <c r="J21" s="23" t="n">
        <f aca="false">I21/G21*100</f>
        <v>3.98327464788732</v>
      </c>
      <c r="K21" s="18" t="s">
        <v>84</v>
      </c>
      <c r="L21" s="24"/>
    </row>
    <row r="22" customFormat="false" ht="15" hidden="false" customHeight="false" outlineLevel="0" collapsed="false">
      <c r="A22" s="18" t="s">
        <v>59</v>
      </c>
      <c r="B22" s="18" t="s">
        <v>60</v>
      </c>
      <c r="C22" s="18" t="s">
        <v>87</v>
      </c>
      <c r="D22" s="18" t="s">
        <v>62</v>
      </c>
      <c r="E22" s="21" t="n">
        <v>46270.4111689815</v>
      </c>
      <c r="F22" s="24" t="n">
        <v>25</v>
      </c>
      <c r="G22" s="22" t="n">
        <v>14200</v>
      </c>
      <c r="H22" s="23" t="n">
        <v>93.16</v>
      </c>
      <c r="I22" s="22" t="n">
        <v>508</v>
      </c>
      <c r="J22" s="23" t="n">
        <f aca="false">I22/G22*100</f>
        <v>3.57746478873239</v>
      </c>
      <c r="K22" s="18" t="s">
        <v>84</v>
      </c>
      <c r="L22" s="24"/>
    </row>
    <row r="23" customFormat="false" ht="15" hidden="false" customHeight="false" outlineLevel="0" collapsed="false">
      <c r="A23" s="18" t="s">
        <v>59</v>
      </c>
      <c r="B23" s="18" t="s">
        <v>60</v>
      </c>
      <c r="C23" s="18" t="s">
        <v>88</v>
      </c>
      <c r="D23" s="18" t="s">
        <v>62</v>
      </c>
      <c r="E23" s="21" t="n">
        <v>46271.4969097222</v>
      </c>
      <c r="F23" s="24" t="n">
        <v>25</v>
      </c>
      <c r="G23" s="22" t="n">
        <v>14200</v>
      </c>
      <c r="H23" s="23" t="n">
        <v>90.7</v>
      </c>
      <c r="I23" s="22" t="n">
        <v>847</v>
      </c>
      <c r="J23" s="23" t="n">
        <f aca="false">I23/G23*100</f>
        <v>5.96478873239437</v>
      </c>
      <c r="K23" s="18" t="s">
        <v>84</v>
      </c>
      <c r="L23" s="18" t="s">
        <v>72</v>
      </c>
    </row>
    <row r="24" customFormat="false" ht="15" hidden="false" customHeight="false" outlineLevel="0" collapsed="false">
      <c r="A24" s="18" t="s">
        <v>59</v>
      </c>
      <c r="B24" s="18" t="s">
        <v>60</v>
      </c>
      <c r="C24" s="18" t="s">
        <v>89</v>
      </c>
      <c r="D24" s="18" t="s">
        <v>62</v>
      </c>
      <c r="E24" s="21" t="n">
        <v>46271.7502430556</v>
      </c>
      <c r="F24" s="24" t="n">
        <v>25</v>
      </c>
      <c r="G24" s="22" t="n">
        <v>14200</v>
      </c>
      <c r="H24" s="23" t="n">
        <v>92.13</v>
      </c>
      <c r="I24" s="22" t="n">
        <v>658</v>
      </c>
      <c r="J24" s="23" t="n">
        <f aca="false">I24/G24*100</f>
        <v>4.63380281690141</v>
      </c>
      <c r="K24" s="18" t="s">
        <v>84</v>
      </c>
      <c r="L24" s="24"/>
    </row>
    <row r="25" customFormat="false" ht="15" hidden="false" customHeight="false" outlineLevel="0" collapsed="false">
      <c r="A25" s="18" t="s">
        <v>59</v>
      </c>
      <c r="B25" s="18" t="s">
        <v>60</v>
      </c>
      <c r="C25" s="18" t="s">
        <v>90</v>
      </c>
      <c r="D25" s="18" t="s">
        <v>62</v>
      </c>
      <c r="E25" s="21" t="n">
        <v>46270.7890509259</v>
      </c>
      <c r="F25" s="24" t="n">
        <v>25</v>
      </c>
      <c r="G25" s="22" t="n">
        <v>14200</v>
      </c>
      <c r="H25" s="23" t="n">
        <v>92.95</v>
      </c>
      <c r="I25" s="22" t="n">
        <v>620</v>
      </c>
      <c r="J25" s="23" t="n">
        <f aca="false">I25/G25*100</f>
        <v>4.36619718309859</v>
      </c>
      <c r="K25" s="18" t="s">
        <v>84</v>
      </c>
      <c r="L25" s="24"/>
    </row>
    <row r="26" customFormat="false" ht="15" hidden="false" customHeight="false" outlineLevel="0" collapsed="false">
      <c r="A26" s="18" t="s">
        <v>59</v>
      </c>
      <c r="B26" s="18" t="s">
        <v>60</v>
      </c>
      <c r="C26" s="18" t="s">
        <v>91</v>
      </c>
      <c r="D26" s="18" t="s">
        <v>62</v>
      </c>
      <c r="E26" s="21" t="n">
        <v>46271.4492361111</v>
      </c>
      <c r="F26" s="24" t="n">
        <v>24</v>
      </c>
      <c r="G26" s="22" t="n">
        <v>13632</v>
      </c>
      <c r="H26" s="23" t="n">
        <v>92.44</v>
      </c>
      <c r="I26" s="22" t="n">
        <v>632</v>
      </c>
      <c r="J26" s="23" t="n">
        <f aca="false">I26/G26*100</f>
        <v>4.63615023474178</v>
      </c>
      <c r="K26" s="18" t="s">
        <v>84</v>
      </c>
      <c r="L26" s="24"/>
    </row>
    <row r="27" customFormat="false" ht="15" hidden="false" customHeight="false" outlineLevel="0" collapsed="false">
      <c r="A27" s="18" t="s">
        <v>59</v>
      </c>
      <c r="B27" s="18" t="s">
        <v>60</v>
      </c>
      <c r="C27" s="18" t="s">
        <v>92</v>
      </c>
      <c r="D27" s="18" t="s">
        <v>62</v>
      </c>
      <c r="E27" s="21" t="n">
        <v>46271.6428125</v>
      </c>
      <c r="F27" s="24" t="n">
        <v>25</v>
      </c>
      <c r="G27" s="22" t="n">
        <v>14200</v>
      </c>
      <c r="H27" s="23" t="n">
        <v>92.92</v>
      </c>
      <c r="I27" s="22" t="n">
        <v>654</v>
      </c>
      <c r="J27" s="23" t="n">
        <f aca="false">I27/G27*100</f>
        <v>4.6056338028169</v>
      </c>
      <c r="K27" s="18" t="s">
        <v>84</v>
      </c>
      <c r="L27" s="24"/>
    </row>
    <row r="28" customFormat="false" ht="15" hidden="false" customHeight="false" outlineLevel="0" collapsed="false">
      <c r="A28" s="18" t="s">
        <v>59</v>
      </c>
      <c r="B28" s="18" t="s">
        <v>60</v>
      </c>
      <c r="C28" s="18" t="s">
        <v>93</v>
      </c>
      <c r="D28" s="18" t="s">
        <v>62</v>
      </c>
      <c r="E28" s="21" t="n">
        <v>46271.6997569444</v>
      </c>
      <c r="F28" s="24" t="n">
        <v>25</v>
      </c>
      <c r="G28" s="22" t="n">
        <v>14200</v>
      </c>
      <c r="H28" s="23" t="n">
        <v>91.85</v>
      </c>
      <c r="I28" s="22" t="n">
        <v>703</v>
      </c>
      <c r="J28" s="23" t="n">
        <f aca="false">I28/G28*100</f>
        <v>4.95070422535211</v>
      </c>
      <c r="K28" s="18" t="s">
        <v>84</v>
      </c>
      <c r="L28" s="24"/>
    </row>
    <row r="29" customFormat="false" ht="15" hidden="false" customHeight="false" outlineLevel="0" collapsed="false">
      <c r="A29" s="18" t="s">
        <v>59</v>
      </c>
      <c r="B29" s="18" t="s">
        <v>60</v>
      </c>
      <c r="C29" s="18" t="s">
        <v>94</v>
      </c>
      <c r="D29" s="18" t="s">
        <v>62</v>
      </c>
      <c r="E29" s="21" t="n">
        <v>46271.2014699074</v>
      </c>
      <c r="F29" s="24" t="n">
        <v>25</v>
      </c>
      <c r="G29" s="22" t="n">
        <v>14200</v>
      </c>
      <c r="H29" s="23" t="n">
        <v>93.39</v>
      </c>
      <c r="I29" s="22" t="n">
        <v>548</v>
      </c>
      <c r="J29" s="23" t="n">
        <f aca="false">I29/G29*100</f>
        <v>3.85915492957747</v>
      </c>
      <c r="K29" s="18" t="s">
        <v>84</v>
      </c>
      <c r="L29" s="24"/>
    </row>
    <row r="30" customFormat="false" ht="15" hidden="false" customHeight="false" outlineLevel="0" collapsed="false">
      <c r="A30" s="18" t="s">
        <v>59</v>
      </c>
      <c r="B30" s="18" t="s">
        <v>60</v>
      </c>
      <c r="C30" s="18" t="s">
        <v>95</v>
      </c>
      <c r="D30" s="18" t="s">
        <v>62</v>
      </c>
      <c r="E30" s="21" t="n">
        <v>46271.1519907407</v>
      </c>
      <c r="F30" s="24" t="n">
        <v>25</v>
      </c>
      <c r="G30" s="22" t="n">
        <v>14200</v>
      </c>
      <c r="H30" s="23" t="n">
        <v>91.87</v>
      </c>
      <c r="I30" s="22" t="n">
        <v>740</v>
      </c>
      <c r="J30" s="23" t="n">
        <f aca="false">I30/G30*100</f>
        <v>5.2112676056338</v>
      </c>
      <c r="K30" s="18" t="s">
        <v>84</v>
      </c>
      <c r="L30" s="18" t="s">
        <v>72</v>
      </c>
    </row>
    <row r="31" customFormat="false" ht="15" hidden="false" customHeight="false" outlineLevel="0" collapsed="false">
      <c r="A31" s="18" t="s">
        <v>59</v>
      </c>
      <c r="B31" s="18" t="s">
        <v>60</v>
      </c>
      <c r="C31" s="18" t="s">
        <v>96</v>
      </c>
      <c r="D31" s="18" t="s">
        <v>62</v>
      </c>
      <c r="E31" s="21" t="n">
        <v>46270.8372569445</v>
      </c>
      <c r="F31" s="24" t="n">
        <v>25</v>
      </c>
      <c r="G31" s="22" t="n">
        <v>14200</v>
      </c>
      <c r="H31" s="23" t="n">
        <v>93.27</v>
      </c>
      <c r="I31" s="22" t="n">
        <v>628</v>
      </c>
      <c r="J31" s="23" t="n">
        <f aca="false">I31/G31*100</f>
        <v>4.42253521126761</v>
      </c>
      <c r="K31" s="18" t="s">
        <v>84</v>
      </c>
      <c r="L31" s="24"/>
    </row>
    <row r="32" customFormat="false" ht="15" hidden="false" customHeight="false" outlineLevel="0" collapsed="false">
      <c r="A32" s="18" t="s">
        <v>59</v>
      </c>
      <c r="B32" s="18" t="s">
        <v>60</v>
      </c>
      <c r="C32" s="18" t="s">
        <v>97</v>
      </c>
      <c r="D32" s="18" t="s">
        <v>62</v>
      </c>
      <c r="E32" s="21" t="n">
        <v>46271.3052430556</v>
      </c>
      <c r="F32" s="24" t="n">
        <v>25</v>
      </c>
      <c r="G32" s="22" t="n">
        <v>14200</v>
      </c>
      <c r="H32" s="23" t="n">
        <v>91.51</v>
      </c>
      <c r="I32" s="22" t="n">
        <v>726</v>
      </c>
      <c r="J32" s="23" t="n">
        <f aca="false">I32/G32*100</f>
        <v>5.11267605633803</v>
      </c>
      <c r="K32" s="18" t="s">
        <v>84</v>
      </c>
      <c r="L32" s="18" t="s">
        <v>72</v>
      </c>
    </row>
    <row r="33" customFormat="false" ht="15" hidden="false" customHeight="false" outlineLevel="0" collapsed="false">
      <c r="A33" s="18" t="s">
        <v>59</v>
      </c>
      <c r="B33" s="18" t="s">
        <v>60</v>
      </c>
      <c r="C33" s="18" t="s">
        <v>98</v>
      </c>
      <c r="D33" s="18" t="s">
        <v>62</v>
      </c>
      <c r="E33" s="21" t="n">
        <v>46271.0379976852</v>
      </c>
      <c r="F33" s="24" t="n">
        <v>25</v>
      </c>
      <c r="G33" s="22" t="n">
        <v>14200</v>
      </c>
      <c r="H33" s="23" t="n">
        <v>92.82</v>
      </c>
      <c r="I33" s="22" t="n">
        <v>624</v>
      </c>
      <c r="J33" s="23" t="n">
        <f aca="false">I33/G33*100</f>
        <v>4.3943661971831</v>
      </c>
      <c r="K33" s="18" t="s">
        <v>84</v>
      </c>
      <c r="L33" s="24"/>
    </row>
    <row r="34" customFormat="false" ht="15" hidden="false" customHeight="false" outlineLevel="0" collapsed="false">
      <c r="A34" s="18" t="s">
        <v>59</v>
      </c>
      <c r="B34" s="18" t="s">
        <v>60</v>
      </c>
      <c r="C34" s="18" t="s">
        <v>99</v>
      </c>
      <c r="D34" s="18" t="s">
        <v>62</v>
      </c>
      <c r="E34" s="21" t="n">
        <v>46271.4033796296</v>
      </c>
      <c r="F34" s="24" t="n">
        <v>25</v>
      </c>
      <c r="G34" s="22" t="n">
        <v>14200</v>
      </c>
      <c r="H34" s="23" t="n">
        <v>91.51</v>
      </c>
      <c r="I34" s="22" t="n">
        <v>764</v>
      </c>
      <c r="J34" s="23" t="n">
        <f aca="false">I34/G34*100</f>
        <v>5.38028169014085</v>
      </c>
      <c r="K34" s="18" t="s">
        <v>84</v>
      </c>
      <c r="L34" s="18" t="s">
        <v>72</v>
      </c>
    </row>
    <row r="35" customFormat="false" ht="15" hidden="false" customHeight="false" outlineLevel="0" collapsed="false">
      <c r="A35" s="18" t="s">
        <v>59</v>
      </c>
      <c r="B35" s="18" t="s">
        <v>60</v>
      </c>
      <c r="C35" s="18" t="s">
        <v>100</v>
      </c>
      <c r="D35" s="18" t="s">
        <v>62</v>
      </c>
      <c r="E35" s="21" t="n">
        <v>46271.2504050926</v>
      </c>
      <c r="F35" s="24" t="n">
        <v>25</v>
      </c>
      <c r="G35" s="22" t="n">
        <v>14200</v>
      </c>
      <c r="H35" s="23" t="n">
        <v>93.13</v>
      </c>
      <c r="I35" s="22" t="n">
        <v>671</v>
      </c>
      <c r="J35" s="23" t="n">
        <f aca="false">I35/G35*100</f>
        <v>4.72535211267606</v>
      </c>
      <c r="K35" s="18" t="s">
        <v>84</v>
      </c>
      <c r="L35" s="24"/>
    </row>
    <row r="36" customFormat="false" ht="15" hidden="false" customHeight="false" outlineLevel="0" collapsed="false">
      <c r="A36" s="18" t="s">
        <v>59</v>
      </c>
      <c r="B36" s="18" t="s">
        <v>60</v>
      </c>
      <c r="C36" s="18" t="s">
        <v>101</v>
      </c>
      <c r="D36" s="18" t="s">
        <v>62</v>
      </c>
      <c r="E36" s="21" t="n">
        <v>46271.5949305556</v>
      </c>
      <c r="F36" s="24" t="n">
        <v>25</v>
      </c>
      <c r="G36" s="22" t="n">
        <v>14200</v>
      </c>
      <c r="H36" s="23" t="n">
        <v>93.93</v>
      </c>
      <c r="I36" s="22" t="n">
        <v>583</v>
      </c>
      <c r="J36" s="23" t="n">
        <f aca="false">I36/G36*100</f>
        <v>4.1056338028169</v>
      </c>
      <c r="K36" s="18" t="s">
        <v>84</v>
      </c>
      <c r="L36" s="24"/>
    </row>
    <row r="37" customFormat="false" ht="15" hidden="false" customHeight="false" outlineLevel="0" collapsed="false">
      <c r="A37" s="18" t="s">
        <v>59</v>
      </c>
      <c r="B37" s="18" t="s">
        <v>60</v>
      </c>
      <c r="C37" s="18" t="s">
        <v>102</v>
      </c>
      <c r="D37" s="18" t="s">
        <v>62</v>
      </c>
      <c r="E37" s="21" t="n">
        <v>46271.3543055556</v>
      </c>
      <c r="F37" s="24" t="n">
        <v>25</v>
      </c>
      <c r="G37" s="22" t="n">
        <v>14200</v>
      </c>
      <c r="H37" s="23" t="n">
        <v>92.62</v>
      </c>
      <c r="I37" s="22" t="n">
        <v>704</v>
      </c>
      <c r="J37" s="23" t="n">
        <f aca="false">I37/G37*100</f>
        <v>4.95774647887324</v>
      </c>
      <c r="K37" s="18" t="s">
        <v>84</v>
      </c>
      <c r="L37" s="24"/>
    </row>
    <row r="38" customFormat="false" ht="15" hidden="false" customHeight="false" outlineLevel="0" collapsed="false">
      <c r="A38" s="18" t="s">
        <v>59</v>
      </c>
      <c r="B38" s="18" t="s">
        <v>60</v>
      </c>
      <c r="C38" s="18" t="s">
        <v>103</v>
      </c>
      <c r="D38" s="18" t="s">
        <v>62</v>
      </c>
      <c r="E38" s="21" t="n">
        <v>46279.7993402778</v>
      </c>
      <c r="F38" s="24" t="n">
        <v>25</v>
      </c>
      <c r="G38" s="22" t="n">
        <v>14200</v>
      </c>
      <c r="H38" s="23" t="n">
        <v>85.23</v>
      </c>
      <c r="I38" s="22" t="n">
        <v>882</v>
      </c>
      <c r="J38" s="23" t="n">
        <f aca="false">I38/G38*100</f>
        <v>6.2112676056338</v>
      </c>
      <c r="K38" s="18" t="s">
        <v>84</v>
      </c>
      <c r="L38" s="18" t="s">
        <v>72</v>
      </c>
    </row>
    <row r="39" customFormat="false" ht="15" hidden="false" customHeight="false" outlineLevel="0" collapsed="false">
      <c r="A39" s="25" t="s">
        <v>59</v>
      </c>
      <c r="B39" s="25" t="s">
        <v>60</v>
      </c>
      <c r="C39" s="25" t="s">
        <v>104</v>
      </c>
      <c r="D39" s="25" t="s">
        <v>62</v>
      </c>
      <c r="E39" s="26" t="n">
        <v>46281.8872800926</v>
      </c>
      <c r="F39" s="25" t="n">
        <v>25</v>
      </c>
      <c r="G39" s="27" t="n">
        <v>14200</v>
      </c>
      <c r="H39" s="28" t="n">
        <v>85.42</v>
      </c>
      <c r="I39" s="27" t="n">
        <v>1585</v>
      </c>
      <c r="J39" s="28" t="n">
        <f aca="false">I39/G39*100</f>
        <v>11.1619718309859</v>
      </c>
      <c r="K39" s="25" t="s">
        <v>105</v>
      </c>
      <c r="L39" s="25" t="s">
        <v>106</v>
      </c>
    </row>
    <row r="40" customFormat="false" ht="15" hidden="false" customHeight="false" outlineLevel="0" collapsed="false">
      <c r="A40" s="18" t="s">
        <v>59</v>
      </c>
      <c r="B40" s="18" t="s">
        <v>60</v>
      </c>
      <c r="C40" s="18" t="s">
        <v>107</v>
      </c>
      <c r="D40" s="18" t="s">
        <v>62</v>
      </c>
      <c r="E40" s="21" t="n">
        <v>46278.0322800926</v>
      </c>
      <c r="F40" s="24" t="n">
        <v>25</v>
      </c>
      <c r="G40" s="22" t="n">
        <v>14200</v>
      </c>
      <c r="H40" s="23" t="n">
        <v>89.56</v>
      </c>
      <c r="I40" s="22" t="n">
        <v>815</v>
      </c>
      <c r="J40" s="23" t="n">
        <f aca="false">I40/G40*100</f>
        <v>5.73943661971831</v>
      </c>
      <c r="K40" s="18" t="s">
        <v>63</v>
      </c>
      <c r="L40" s="18" t="s">
        <v>72</v>
      </c>
    </row>
    <row r="41" customFormat="false" ht="15" hidden="false" customHeight="false" outlineLevel="0" collapsed="false">
      <c r="A41" s="18" t="s">
        <v>59</v>
      </c>
      <c r="B41" s="18" t="s">
        <v>60</v>
      </c>
      <c r="C41" s="18" t="s">
        <v>108</v>
      </c>
      <c r="D41" s="18" t="s">
        <v>62</v>
      </c>
      <c r="E41" s="21" t="n">
        <v>46278.0850115741</v>
      </c>
      <c r="F41" s="24" t="n">
        <v>25</v>
      </c>
      <c r="G41" s="22" t="n">
        <v>14200</v>
      </c>
      <c r="H41" s="23" t="n">
        <v>89.6</v>
      </c>
      <c r="I41" s="22" t="n">
        <v>822</v>
      </c>
      <c r="J41" s="23" t="n">
        <f aca="false">I41/G41*100</f>
        <v>5.7887323943662</v>
      </c>
      <c r="K41" s="18" t="s">
        <v>63</v>
      </c>
      <c r="L41" s="18" t="s">
        <v>72</v>
      </c>
    </row>
    <row r="42" customFormat="false" ht="15" hidden="false" customHeight="false" outlineLevel="0" collapsed="false">
      <c r="A42" s="18" t="s">
        <v>59</v>
      </c>
      <c r="B42" s="18" t="s">
        <v>60</v>
      </c>
      <c r="C42" s="18" t="s">
        <v>109</v>
      </c>
      <c r="D42" s="18" t="s">
        <v>62</v>
      </c>
      <c r="E42" s="21" t="n">
        <v>46279.6921643519</v>
      </c>
      <c r="F42" s="24" t="n">
        <v>25</v>
      </c>
      <c r="G42" s="22" t="n">
        <v>14200</v>
      </c>
      <c r="H42" s="23" t="n">
        <v>86</v>
      </c>
      <c r="I42" s="22" t="n">
        <v>823</v>
      </c>
      <c r="J42" s="23" t="n">
        <f aca="false">I42/G42*100</f>
        <v>5.79577464788732</v>
      </c>
      <c r="K42" s="18" t="s">
        <v>63</v>
      </c>
      <c r="L42" s="18" t="s">
        <v>72</v>
      </c>
    </row>
    <row r="43" customFormat="false" ht="15" hidden="false" customHeight="false" outlineLevel="0" collapsed="false">
      <c r="A43" s="18" t="s">
        <v>59</v>
      </c>
      <c r="B43" s="18" t="s">
        <v>60</v>
      </c>
      <c r="C43" s="18" t="s">
        <v>110</v>
      </c>
      <c r="D43" s="18" t="s">
        <v>62</v>
      </c>
      <c r="E43" s="21" t="n">
        <v>46279.7456597222</v>
      </c>
      <c r="F43" s="24" t="n">
        <v>25</v>
      </c>
      <c r="G43" s="22" t="n">
        <v>14200</v>
      </c>
      <c r="H43" s="23" t="n">
        <v>87.38</v>
      </c>
      <c r="I43" s="22" t="n">
        <v>861</v>
      </c>
      <c r="J43" s="23" t="n">
        <f aca="false">I43/G43*100</f>
        <v>6.06338028169014</v>
      </c>
      <c r="K43" s="18" t="s">
        <v>63</v>
      </c>
      <c r="L43" s="18" t="s">
        <v>72</v>
      </c>
    </row>
    <row r="44" customFormat="false" ht="15" hidden="false" customHeight="false" outlineLevel="0" collapsed="false">
      <c r="A44" s="25" t="s">
        <v>59</v>
      </c>
      <c r="B44" s="25" t="s">
        <v>60</v>
      </c>
      <c r="C44" s="25" t="s">
        <v>111</v>
      </c>
      <c r="D44" s="25" t="s">
        <v>62</v>
      </c>
      <c r="E44" s="26" t="n">
        <v>46281.8384722222</v>
      </c>
      <c r="F44" s="25" t="n">
        <v>25</v>
      </c>
      <c r="G44" s="27" t="n">
        <v>14200</v>
      </c>
      <c r="H44" s="28" t="n">
        <v>85.77</v>
      </c>
      <c r="I44" s="27" t="n">
        <v>1522</v>
      </c>
      <c r="J44" s="28" t="n">
        <f aca="false">I44/G44*100</f>
        <v>10.7183098591549</v>
      </c>
      <c r="K44" s="25" t="s">
        <v>112</v>
      </c>
      <c r="L44" s="25" t="s">
        <v>106</v>
      </c>
    </row>
    <row r="45" customFormat="false" ht="15" hidden="false" customHeight="false" outlineLevel="0" collapsed="false">
      <c r="A45" s="25" t="s">
        <v>59</v>
      </c>
      <c r="B45" s="25" t="s">
        <v>60</v>
      </c>
      <c r="C45" s="25" t="s">
        <v>113</v>
      </c>
      <c r="D45" s="25" t="s">
        <v>62</v>
      </c>
      <c r="E45" s="26" t="n">
        <v>46282.4350578704</v>
      </c>
      <c r="F45" s="25" t="n">
        <v>25</v>
      </c>
      <c r="G45" s="27" t="n">
        <v>14200</v>
      </c>
      <c r="H45" s="28" t="n">
        <v>88.29</v>
      </c>
      <c r="I45" s="27" t="n">
        <v>1263</v>
      </c>
      <c r="J45" s="28" t="n">
        <f aca="false">I45/G45*100</f>
        <v>8.8943661971831</v>
      </c>
      <c r="K45" s="25" t="s">
        <v>112</v>
      </c>
      <c r="L45" s="25" t="s">
        <v>106</v>
      </c>
    </row>
    <row r="46" customFormat="false" ht="15" hidden="false" customHeight="false" outlineLevel="0" collapsed="false">
      <c r="A46" s="25" t="s">
        <v>59</v>
      </c>
      <c r="B46" s="25" t="s">
        <v>60</v>
      </c>
      <c r="C46" s="25" t="s">
        <v>114</v>
      </c>
      <c r="D46" s="25" t="s">
        <v>62</v>
      </c>
      <c r="E46" s="26" t="n">
        <v>46281.7865162037</v>
      </c>
      <c r="F46" s="25" t="n">
        <v>25</v>
      </c>
      <c r="G46" s="27" t="n">
        <v>14200</v>
      </c>
      <c r="H46" s="28" t="n">
        <v>86.51</v>
      </c>
      <c r="I46" s="27" t="n">
        <v>1548</v>
      </c>
      <c r="J46" s="28" t="n">
        <f aca="false">I46/G46*100</f>
        <v>10.9014084507042</v>
      </c>
      <c r="K46" s="25" t="s">
        <v>112</v>
      </c>
      <c r="L46" s="25" t="s">
        <v>106</v>
      </c>
    </row>
  </sheetData>
  <autoFilter ref="A1:L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7"/>
    <col collapsed="false" customWidth="true" hidden="false" outlineLevel="0" max="6" min="6" style="0" width="11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42"/>
    <col collapsed="false" customWidth="true" hidden="false" outlineLevel="0" max="12" min="12" style="0" width="24"/>
  </cols>
  <sheetData>
    <row r="1" customFormat="false" ht="31.5" hidden="false" customHeight="true" outlineLevel="0" collapsed="false">
      <c r="A1" s="19" t="s">
        <v>47</v>
      </c>
      <c r="B1" s="19" t="s">
        <v>48</v>
      </c>
      <c r="C1" s="20" t="s">
        <v>49</v>
      </c>
      <c r="D1" s="20" t="s">
        <v>50</v>
      </c>
      <c r="E1" s="20" t="s">
        <v>51</v>
      </c>
      <c r="F1" s="19" t="s">
        <v>52</v>
      </c>
      <c r="G1" s="19" t="s">
        <v>53</v>
      </c>
      <c r="H1" s="19" t="s">
        <v>54</v>
      </c>
      <c r="I1" s="19" t="s">
        <v>55</v>
      </c>
      <c r="J1" s="19" t="s">
        <v>56</v>
      </c>
      <c r="K1" s="20" t="s">
        <v>57</v>
      </c>
      <c r="L1" s="20" t="s">
        <v>58</v>
      </c>
    </row>
    <row r="2" customFormat="false" ht="15" hidden="false" customHeight="false" outlineLevel="0" collapsed="false">
      <c r="A2" s="18" t="s">
        <v>59</v>
      </c>
      <c r="B2" s="18" t="s">
        <v>115</v>
      </c>
      <c r="C2" s="18" t="s">
        <v>116</v>
      </c>
      <c r="D2" s="18" t="s">
        <v>62</v>
      </c>
      <c r="E2" s="21" t="n">
        <v>46282.2064583333</v>
      </c>
      <c r="F2" s="24" t="n">
        <v>25</v>
      </c>
      <c r="G2" s="22" t="n">
        <v>14200</v>
      </c>
      <c r="H2" s="23" t="n">
        <v>96.96</v>
      </c>
      <c r="I2" s="22" t="n">
        <v>106</v>
      </c>
      <c r="J2" s="23" t="n">
        <f aca="false">I2/G2*100</f>
        <v>0.746478873239437</v>
      </c>
      <c r="K2" s="24" t="s">
        <v>117</v>
      </c>
      <c r="L2" s="24"/>
    </row>
    <row r="3" customFormat="false" ht="15" hidden="false" customHeight="false" outlineLevel="0" collapsed="false">
      <c r="A3" s="18" t="s">
        <v>59</v>
      </c>
      <c r="B3" s="18" t="s">
        <v>115</v>
      </c>
      <c r="C3" s="18" t="s">
        <v>118</v>
      </c>
      <c r="D3" s="18" t="s">
        <v>62</v>
      </c>
      <c r="E3" s="21" t="n">
        <v>46271.9071064815</v>
      </c>
      <c r="F3" s="24" t="n">
        <v>24</v>
      </c>
      <c r="G3" s="22" t="n">
        <v>13632</v>
      </c>
      <c r="H3" s="23" t="n">
        <v>95.85</v>
      </c>
      <c r="I3" s="22" t="n">
        <v>270</v>
      </c>
      <c r="J3" s="23" t="n">
        <f aca="false">I3/G3*100</f>
        <v>1.9806338028169</v>
      </c>
      <c r="K3" s="24" t="s">
        <v>117</v>
      </c>
      <c r="L3" s="24"/>
    </row>
    <row r="4" customFormat="false" ht="15" hidden="false" customHeight="false" outlineLevel="0" collapsed="false">
      <c r="A4" s="18" t="s">
        <v>59</v>
      </c>
      <c r="B4" s="18" t="s">
        <v>115</v>
      </c>
      <c r="C4" s="18" t="s">
        <v>119</v>
      </c>
      <c r="D4" s="18" t="s">
        <v>62</v>
      </c>
      <c r="E4" s="21" t="n">
        <v>46272.281412037</v>
      </c>
      <c r="F4" s="24" t="n">
        <v>25</v>
      </c>
      <c r="G4" s="22" t="n">
        <v>14200</v>
      </c>
      <c r="H4" s="23" t="n">
        <v>95.51</v>
      </c>
      <c r="I4" s="22" t="n">
        <v>329</v>
      </c>
      <c r="J4" s="23" t="n">
        <f aca="false">I4/G4*100</f>
        <v>2.3169014084507</v>
      </c>
      <c r="K4" s="24" t="s">
        <v>117</v>
      </c>
      <c r="L4" s="24"/>
    </row>
    <row r="5" customFormat="false" ht="15" hidden="false" customHeight="false" outlineLevel="0" collapsed="false">
      <c r="A5" s="18" t="s">
        <v>59</v>
      </c>
      <c r="B5" s="18" t="s">
        <v>115</v>
      </c>
      <c r="C5" s="18" t="s">
        <v>120</v>
      </c>
      <c r="D5" s="18" t="s">
        <v>62</v>
      </c>
      <c r="E5" s="21" t="n">
        <v>46271.8583564815</v>
      </c>
      <c r="F5" s="24" t="n">
        <v>25</v>
      </c>
      <c r="G5" s="22" t="n">
        <v>14200</v>
      </c>
      <c r="H5" s="23" t="n">
        <v>95.38</v>
      </c>
      <c r="I5" s="22" t="n">
        <v>334</v>
      </c>
      <c r="J5" s="23" t="n">
        <f aca="false">I5/G5*100</f>
        <v>2.35211267605634</v>
      </c>
      <c r="K5" s="24" t="s">
        <v>117</v>
      </c>
      <c r="L5" s="24"/>
    </row>
    <row r="6" customFormat="false" ht="15" hidden="false" customHeight="false" outlineLevel="0" collapsed="false">
      <c r="A6" s="18" t="s">
        <v>59</v>
      </c>
      <c r="B6" s="18" t="s">
        <v>115</v>
      </c>
      <c r="C6" s="18" t="s">
        <v>121</v>
      </c>
      <c r="D6" s="18" t="s">
        <v>62</v>
      </c>
      <c r="E6" s="21" t="n">
        <v>46272.4351967593</v>
      </c>
      <c r="F6" s="24" t="n">
        <v>24</v>
      </c>
      <c r="G6" s="22" t="n">
        <v>13632</v>
      </c>
      <c r="H6" s="23" t="n">
        <v>95.86</v>
      </c>
      <c r="I6" s="22" t="n">
        <v>260</v>
      </c>
      <c r="J6" s="23" t="n">
        <f aca="false">I6/G6*100</f>
        <v>1.90727699530516</v>
      </c>
      <c r="K6" s="24" t="s">
        <v>117</v>
      </c>
      <c r="L6" s="24"/>
    </row>
    <row r="7" customFormat="false" ht="15" hidden="false" customHeight="false" outlineLevel="0" collapsed="false">
      <c r="A7" s="18" t="s">
        <v>59</v>
      </c>
      <c r="B7" s="18" t="s">
        <v>115</v>
      </c>
      <c r="C7" s="18" t="s">
        <v>122</v>
      </c>
      <c r="D7" s="18" t="s">
        <v>62</v>
      </c>
      <c r="E7" s="21" t="n">
        <v>46271.8038773148</v>
      </c>
      <c r="F7" s="24" t="n">
        <v>25</v>
      </c>
      <c r="G7" s="22" t="n">
        <v>14200</v>
      </c>
      <c r="H7" s="23" t="n">
        <v>96.23</v>
      </c>
      <c r="I7" s="22" t="n">
        <v>242</v>
      </c>
      <c r="J7" s="23" t="n">
        <f aca="false">I7/G7*100</f>
        <v>1.70422535211268</v>
      </c>
      <c r="K7" s="24" t="s">
        <v>117</v>
      </c>
      <c r="L7" s="24"/>
    </row>
    <row r="8" customFormat="false" ht="15" hidden="false" customHeight="false" outlineLevel="0" collapsed="false">
      <c r="A8" s="18" t="s">
        <v>59</v>
      </c>
      <c r="B8" s="18" t="s">
        <v>115</v>
      </c>
      <c r="C8" s="18" t="s">
        <v>123</v>
      </c>
      <c r="D8" s="18" t="s">
        <v>62</v>
      </c>
      <c r="E8" s="21" t="n">
        <v>46271.9592592593</v>
      </c>
      <c r="F8" s="24" t="n">
        <v>25</v>
      </c>
      <c r="G8" s="22" t="n">
        <v>14200</v>
      </c>
      <c r="H8" s="23" t="n">
        <v>94.85</v>
      </c>
      <c r="I8" s="22" t="n">
        <v>337</v>
      </c>
      <c r="J8" s="23" t="n">
        <f aca="false">I8/G8*100</f>
        <v>2.37323943661972</v>
      </c>
      <c r="K8" s="24" t="s">
        <v>117</v>
      </c>
      <c r="L8" s="24"/>
    </row>
    <row r="9" customFormat="false" ht="15" hidden="false" customHeight="false" outlineLevel="0" collapsed="false">
      <c r="A9" s="18" t="s">
        <v>59</v>
      </c>
      <c r="B9" s="18" t="s">
        <v>115</v>
      </c>
      <c r="C9" s="18" t="s">
        <v>124</v>
      </c>
      <c r="D9" s="18" t="s">
        <v>62</v>
      </c>
      <c r="E9" s="21" t="n">
        <v>46272.2250694444</v>
      </c>
      <c r="F9" s="24" t="n">
        <v>25</v>
      </c>
      <c r="G9" s="22" t="n">
        <v>14200</v>
      </c>
      <c r="H9" s="23" t="n">
        <v>95.22</v>
      </c>
      <c r="I9" s="22" t="n">
        <v>307</v>
      </c>
      <c r="J9" s="23" t="n">
        <f aca="false">I9/G9*100</f>
        <v>2.16197183098592</v>
      </c>
      <c r="K9" s="24" t="s">
        <v>117</v>
      </c>
      <c r="L9" s="24"/>
    </row>
    <row r="10" customFormat="false" ht="15" hidden="false" customHeight="false" outlineLevel="0" collapsed="false">
      <c r="A10" s="18" t="s">
        <v>59</v>
      </c>
      <c r="B10" s="18" t="s">
        <v>115</v>
      </c>
      <c r="C10" s="18" t="s">
        <v>125</v>
      </c>
      <c r="D10" s="18" t="s">
        <v>62</v>
      </c>
      <c r="E10" s="21" t="n">
        <v>46272.5108217593</v>
      </c>
      <c r="F10" s="24" t="n">
        <v>25</v>
      </c>
      <c r="G10" s="22" t="n">
        <v>14200</v>
      </c>
      <c r="H10" s="23" t="n">
        <v>93.87</v>
      </c>
      <c r="I10" s="22" t="n">
        <v>268</v>
      </c>
      <c r="J10" s="23" t="n">
        <f aca="false">I10/G10*100</f>
        <v>1.88732394366197</v>
      </c>
      <c r="K10" s="24" t="s">
        <v>117</v>
      </c>
      <c r="L10" s="24"/>
    </row>
    <row r="11" customFormat="false" ht="15" hidden="false" customHeight="false" outlineLevel="0" collapsed="false">
      <c r="A11" s="18" t="s">
        <v>59</v>
      </c>
      <c r="B11" s="18" t="s">
        <v>115</v>
      </c>
      <c r="C11" s="18" t="s">
        <v>126</v>
      </c>
      <c r="D11" s="18" t="s">
        <v>62</v>
      </c>
      <c r="E11" s="21" t="n">
        <v>46272.3867013889</v>
      </c>
      <c r="F11" s="24" t="n">
        <v>25</v>
      </c>
      <c r="G11" s="22" t="n">
        <v>14200</v>
      </c>
      <c r="H11" s="23" t="n">
        <v>95.06</v>
      </c>
      <c r="I11" s="22" t="n">
        <v>340</v>
      </c>
      <c r="J11" s="23" t="n">
        <f aca="false">I11/G11*100</f>
        <v>2.3943661971831</v>
      </c>
      <c r="K11" s="24" t="s">
        <v>117</v>
      </c>
      <c r="L11" s="24"/>
    </row>
    <row r="12" customFormat="false" ht="15" hidden="false" customHeight="false" outlineLevel="0" collapsed="false">
      <c r="A12" s="18" t="s">
        <v>59</v>
      </c>
      <c r="B12" s="18" t="s">
        <v>115</v>
      </c>
      <c r="C12" s="18" t="s">
        <v>127</v>
      </c>
      <c r="D12" s="18" t="s">
        <v>62</v>
      </c>
      <c r="E12" s="21" t="n">
        <v>46272.0685069444</v>
      </c>
      <c r="F12" s="24" t="n">
        <v>25</v>
      </c>
      <c r="G12" s="22" t="n">
        <v>14200</v>
      </c>
      <c r="H12" s="23" t="n">
        <v>94.15</v>
      </c>
      <c r="I12" s="22" t="n">
        <v>403</v>
      </c>
      <c r="J12" s="23" t="n">
        <f aca="false">I12/G12*100</f>
        <v>2.83802816901408</v>
      </c>
      <c r="K12" s="24" t="s">
        <v>117</v>
      </c>
      <c r="L12" s="24"/>
    </row>
    <row r="13" customFormat="false" ht="15" hidden="false" customHeight="false" outlineLevel="0" collapsed="false">
      <c r="A13" s="18" t="s">
        <v>59</v>
      </c>
      <c r="B13" s="18" t="s">
        <v>115</v>
      </c>
      <c r="C13" s="18" t="s">
        <v>128</v>
      </c>
      <c r="D13" s="18" t="s">
        <v>62</v>
      </c>
      <c r="E13" s="21" t="n">
        <v>46272.1740856482</v>
      </c>
      <c r="F13" s="24" t="n">
        <v>25</v>
      </c>
      <c r="G13" s="22" t="n">
        <v>14200</v>
      </c>
      <c r="H13" s="23" t="n">
        <v>96</v>
      </c>
      <c r="I13" s="22" t="n">
        <v>271</v>
      </c>
      <c r="J13" s="23" t="n">
        <f aca="false">I13/G13*100</f>
        <v>1.90845070422535</v>
      </c>
      <c r="K13" s="24" t="s">
        <v>117</v>
      </c>
      <c r="L13" s="24"/>
    </row>
    <row r="14" customFormat="false" ht="15" hidden="false" customHeight="false" outlineLevel="0" collapsed="false">
      <c r="A14" s="18" t="s">
        <v>59</v>
      </c>
      <c r="B14" s="18" t="s">
        <v>115</v>
      </c>
      <c r="C14" s="18" t="s">
        <v>129</v>
      </c>
      <c r="D14" s="18" t="s">
        <v>62</v>
      </c>
      <c r="E14" s="21" t="n">
        <v>46272.1199537037</v>
      </c>
      <c r="F14" s="24" t="n">
        <v>25</v>
      </c>
      <c r="G14" s="22" t="n">
        <v>14200</v>
      </c>
      <c r="H14" s="23" t="n">
        <v>96.31</v>
      </c>
      <c r="I14" s="22" t="n">
        <v>223</v>
      </c>
      <c r="J14" s="23" t="n">
        <f aca="false">I14/G14*100</f>
        <v>1.57042253521127</v>
      </c>
      <c r="K14" s="24" t="s">
        <v>117</v>
      </c>
      <c r="L14" s="24"/>
    </row>
    <row r="15" customFormat="false" ht="15" hidden="false" customHeight="false" outlineLevel="0" collapsed="false">
      <c r="A15" s="18" t="s">
        <v>59</v>
      </c>
      <c r="B15" s="18" t="s">
        <v>115</v>
      </c>
      <c r="C15" s="18" t="s">
        <v>130</v>
      </c>
      <c r="D15" s="18" t="s">
        <v>62</v>
      </c>
      <c r="E15" s="21" t="n">
        <v>46272.5726967593</v>
      </c>
      <c r="F15" s="24" t="n">
        <v>25</v>
      </c>
      <c r="G15" s="22" t="n">
        <v>14200</v>
      </c>
      <c r="H15" s="23" t="n">
        <v>93.78</v>
      </c>
      <c r="I15" s="22" t="n">
        <v>252</v>
      </c>
      <c r="J15" s="23" t="n">
        <f aca="false">I15/G15*100</f>
        <v>1.77464788732394</v>
      </c>
      <c r="K15" s="24" t="s">
        <v>117</v>
      </c>
      <c r="L15" s="24"/>
    </row>
    <row r="16" customFormat="false" ht="15" hidden="false" customHeight="false" outlineLevel="0" collapsed="false">
      <c r="A16" s="18" t="s">
        <v>59</v>
      </c>
      <c r="B16" s="18" t="s">
        <v>115</v>
      </c>
      <c r="C16" s="18" t="s">
        <v>131</v>
      </c>
      <c r="D16" s="18" t="s">
        <v>62</v>
      </c>
      <c r="E16" s="21" t="n">
        <v>46272.3350462963</v>
      </c>
      <c r="F16" s="24" t="n">
        <v>25</v>
      </c>
      <c r="G16" s="22" t="n">
        <v>14200</v>
      </c>
      <c r="H16" s="23" t="n">
        <v>95.56</v>
      </c>
      <c r="I16" s="22" t="n">
        <v>276</v>
      </c>
      <c r="J16" s="23" t="n">
        <f aca="false">I16/G16*100</f>
        <v>1.94366197183099</v>
      </c>
      <c r="K16" s="24" t="s">
        <v>117</v>
      </c>
      <c r="L16" s="24"/>
    </row>
    <row r="17" customFormat="false" ht="15" hidden="false" customHeight="false" outlineLevel="0" collapsed="false">
      <c r="A17" s="18" t="s">
        <v>59</v>
      </c>
      <c r="B17" s="18" t="s">
        <v>115</v>
      </c>
      <c r="C17" s="18" t="s">
        <v>132</v>
      </c>
      <c r="D17" s="18" t="s">
        <v>62</v>
      </c>
      <c r="E17" s="21" t="n">
        <v>46277.0634606482</v>
      </c>
      <c r="F17" s="24" t="n">
        <v>24</v>
      </c>
      <c r="G17" s="22" t="n">
        <v>13632</v>
      </c>
      <c r="H17" s="23" t="n">
        <v>95.06</v>
      </c>
      <c r="I17" s="22" t="n">
        <v>280</v>
      </c>
      <c r="J17" s="23" t="n">
        <f aca="false">I17/G17*100</f>
        <v>2.05399061032864</v>
      </c>
      <c r="K17" s="24" t="s">
        <v>117</v>
      </c>
      <c r="L17" s="24"/>
    </row>
    <row r="18" customFormat="false" ht="15" hidden="false" customHeight="false" outlineLevel="0" collapsed="false">
      <c r="A18" s="18" t="s">
        <v>59</v>
      </c>
      <c r="B18" s="18" t="s">
        <v>115</v>
      </c>
      <c r="C18" s="18" t="s">
        <v>133</v>
      </c>
      <c r="D18" s="18" t="s">
        <v>62</v>
      </c>
      <c r="E18" s="21" t="n">
        <v>46274.1425810185</v>
      </c>
      <c r="F18" s="24" t="n">
        <v>25</v>
      </c>
      <c r="G18" s="22" t="n">
        <v>14200</v>
      </c>
      <c r="H18" s="23" t="n">
        <v>96.11</v>
      </c>
      <c r="I18" s="22" t="n">
        <v>235</v>
      </c>
      <c r="J18" s="23" t="n">
        <f aca="false">I18/G18*100</f>
        <v>1.65492957746479</v>
      </c>
      <c r="K18" s="24" t="s">
        <v>117</v>
      </c>
      <c r="L18" s="24"/>
    </row>
    <row r="19" customFormat="false" ht="15" hidden="false" customHeight="false" outlineLevel="0" collapsed="false">
      <c r="A19" s="18" t="s">
        <v>59</v>
      </c>
      <c r="B19" s="18" t="s">
        <v>115</v>
      </c>
      <c r="C19" s="18" t="s">
        <v>134</v>
      </c>
      <c r="D19" s="18" t="s">
        <v>62</v>
      </c>
      <c r="E19" s="21" t="n">
        <v>46276.7854513889</v>
      </c>
      <c r="F19" s="24" t="n">
        <v>25</v>
      </c>
      <c r="G19" s="22" t="n">
        <v>14200</v>
      </c>
      <c r="H19" s="23" t="n">
        <v>93.92</v>
      </c>
      <c r="I19" s="22" t="n">
        <v>318</v>
      </c>
      <c r="J19" s="23" t="n">
        <f aca="false">I19/G19*100</f>
        <v>2.23943661971831</v>
      </c>
      <c r="K19" s="24" t="s">
        <v>117</v>
      </c>
      <c r="L19" s="24"/>
    </row>
    <row r="20" customFormat="false" ht="15" hidden="false" customHeight="false" outlineLevel="0" collapsed="false">
      <c r="A20" s="18" t="s">
        <v>59</v>
      </c>
      <c r="B20" s="18" t="s">
        <v>115</v>
      </c>
      <c r="C20" s="18" t="s">
        <v>135</v>
      </c>
      <c r="D20" s="18" t="s">
        <v>62</v>
      </c>
      <c r="E20" s="21" t="n">
        <v>46276.5124884259</v>
      </c>
      <c r="F20" s="24" t="n">
        <v>25</v>
      </c>
      <c r="G20" s="22" t="n">
        <v>14200</v>
      </c>
      <c r="H20" s="23" t="n">
        <v>94.33</v>
      </c>
      <c r="I20" s="22" t="n">
        <v>327</v>
      </c>
      <c r="J20" s="23" t="n">
        <f aca="false">I20/G20*100</f>
        <v>2.30281690140845</v>
      </c>
      <c r="K20" s="24" t="s">
        <v>117</v>
      </c>
      <c r="L20" s="24"/>
    </row>
    <row r="21" customFormat="false" ht="15" hidden="false" customHeight="false" outlineLevel="0" collapsed="false">
      <c r="A21" s="18" t="s">
        <v>59</v>
      </c>
      <c r="B21" s="18" t="s">
        <v>115</v>
      </c>
      <c r="C21" s="18" t="s">
        <v>136</v>
      </c>
      <c r="D21" s="18" t="s">
        <v>62</v>
      </c>
      <c r="E21" s="21" t="n">
        <v>46277.0051273148</v>
      </c>
      <c r="F21" s="24" t="n">
        <v>25</v>
      </c>
      <c r="G21" s="22" t="n">
        <v>14200</v>
      </c>
      <c r="H21" s="23" t="n">
        <v>95.01</v>
      </c>
      <c r="I21" s="22" t="n">
        <v>299</v>
      </c>
      <c r="J21" s="23" t="n">
        <f aca="false">I21/G21*100</f>
        <v>2.1056338028169</v>
      </c>
      <c r="K21" s="24" t="s">
        <v>117</v>
      </c>
      <c r="L21" s="24"/>
    </row>
    <row r="22" customFormat="false" ht="15" hidden="false" customHeight="false" outlineLevel="0" collapsed="false">
      <c r="A22" s="18" t="s">
        <v>59</v>
      </c>
      <c r="B22" s="18" t="s">
        <v>115</v>
      </c>
      <c r="C22" s="18" t="s">
        <v>137</v>
      </c>
      <c r="D22" s="18" t="s">
        <v>62</v>
      </c>
      <c r="E22" s="21" t="n">
        <v>46276.7313194444</v>
      </c>
      <c r="F22" s="24" t="n">
        <v>25</v>
      </c>
      <c r="G22" s="22" t="n">
        <v>14200</v>
      </c>
      <c r="H22" s="23" t="n">
        <v>94.09</v>
      </c>
      <c r="I22" s="22" t="n">
        <v>334</v>
      </c>
      <c r="J22" s="23" t="n">
        <f aca="false">I22/G22*100</f>
        <v>2.35211267605634</v>
      </c>
      <c r="K22" s="24" t="s">
        <v>117</v>
      </c>
      <c r="L22" s="24"/>
    </row>
    <row r="23" customFormat="false" ht="15" hidden="false" customHeight="false" outlineLevel="0" collapsed="false">
      <c r="A23" s="18" t="s">
        <v>59</v>
      </c>
      <c r="B23" s="18" t="s">
        <v>115</v>
      </c>
      <c r="C23" s="18" t="s">
        <v>138</v>
      </c>
      <c r="D23" s="18" t="s">
        <v>62</v>
      </c>
      <c r="E23" s="21" t="n">
        <v>46276.8363773148</v>
      </c>
      <c r="F23" s="24" t="n">
        <v>23</v>
      </c>
      <c r="G23" s="22" t="n">
        <v>13064</v>
      </c>
      <c r="H23" s="23" t="n">
        <v>89.25</v>
      </c>
      <c r="I23" s="22" t="n">
        <v>386</v>
      </c>
      <c r="J23" s="23" t="n">
        <f aca="false">I23/G23*100</f>
        <v>2.95468462951623</v>
      </c>
      <c r="K23" s="24" t="s">
        <v>117</v>
      </c>
      <c r="L23" s="24"/>
    </row>
    <row r="24" customFormat="false" ht="15" hidden="false" customHeight="false" outlineLevel="0" collapsed="false">
      <c r="A24" s="18" t="s">
        <v>59</v>
      </c>
      <c r="B24" s="18" t="s">
        <v>115</v>
      </c>
      <c r="C24" s="18" t="s">
        <v>139</v>
      </c>
      <c r="D24" s="18" t="s">
        <v>62</v>
      </c>
      <c r="E24" s="21" t="n">
        <v>46276.6767361111</v>
      </c>
      <c r="F24" s="24" t="n">
        <v>25</v>
      </c>
      <c r="G24" s="22" t="n">
        <v>14200</v>
      </c>
      <c r="H24" s="23" t="n">
        <v>92.27</v>
      </c>
      <c r="I24" s="22" t="n">
        <v>331</v>
      </c>
      <c r="J24" s="23" t="n">
        <f aca="false">I24/G24*100</f>
        <v>2.33098591549296</v>
      </c>
      <c r="K24" s="24" t="s">
        <v>117</v>
      </c>
      <c r="L24" s="24"/>
    </row>
    <row r="25" customFormat="false" ht="15" hidden="false" customHeight="false" outlineLevel="0" collapsed="false">
      <c r="A25" s="18" t="s">
        <v>59</v>
      </c>
      <c r="B25" s="18" t="s">
        <v>115</v>
      </c>
      <c r="C25" s="18" t="s">
        <v>140</v>
      </c>
      <c r="D25" s="18" t="s">
        <v>62</v>
      </c>
      <c r="E25" s="21" t="n">
        <v>46276.4575694444</v>
      </c>
      <c r="F25" s="24" t="n">
        <v>25</v>
      </c>
      <c r="G25" s="22" t="n">
        <v>14200</v>
      </c>
      <c r="H25" s="23" t="n">
        <v>93.79</v>
      </c>
      <c r="I25" s="22" t="n">
        <v>370</v>
      </c>
      <c r="J25" s="23" t="n">
        <f aca="false">I25/G25*100</f>
        <v>2.6056338028169</v>
      </c>
      <c r="K25" s="24" t="s">
        <v>117</v>
      </c>
      <c r="L25" s="24"/>
    </row>
    <row r="26" customFormat="false" ht="15" hidden="false" customHeight="false" outlineLevel="0" collapsed="false">
      <c r="A26" s="18" t="s">
        <v>59</v>
      </c>
      <c r="B26" s="18" t="s">
        <v>115</v>
      </c>
      <c r="C26" s="18" t="s">
        <v>141</v>
      </c>
      <c r="D26" s="18" t="s">
        <v>62</v>
      </c>
      <c r="E26" s="21" t="n">
        <v>46273.9228819445</v>
      </c>
      <c r="F26" s="24" t="n">
        <v>25</v>
      </c>
      <c r="G26" s="22" t="n">
        <v>14200</v>
      </c>
      <c r="H26" s="23" t="n">
        <v>94.98</v>
      </c>
      <c r="I26" s="22" t="n">
        <v>273</v>
      </c>
      <c r="J26" s="23" t="n">
        <f aca="false">I26/G26*100</f>
        <v>1.92253521126761</v>
      </c>
      <c r="K26" s="24" t="s">
        <v>117</v>
      </c>
      <c r="L26" s="24"/>
    </row>
    <row r="27" customFormat="false" ht="15" hidden="false" customHeight="false" outlineLevel="0" collapsed="false">
      <c r="A27" s="18" t="s">
        <v>59</v>
      </c>
      <c r="B27" s="18" t="s">
        <v>115</v>
      </c>
      <c r="C27" s="18" t="s">
        <v>142</v>
      </c>
      <c r="D27" s="18" t="s">
        <v>62</v>
      </c>
      <c r="E27" s="21" t="n">
        <v>46277.109224537</v>
      </c>
      <c r="F27" s="24" t="n">
        <v>17</v>
      </c>
      <c r="G27" s="22" t="n">
        <v>9656</v>
      </c>
      <c r="H27" s="23" t="n">
        <v>85.4</v>
      </c>
      <c r="I27" s="22" t="n">
        <v>215</v>
      </c>
      <c r="J27" s="23" t="n">
        <f aca="false">I27/G27*100</f>
        <v>2.22659486329743</v>
      </c>
      <c r="K27" s="24" t="s">
        <v>117</v>
      </c>
      <c r="L27" s="24"/>
    </row>
    <row r="28" customFormat="false" ht="15" hidden="false" customHeight="false" outlineLevel="0" collapsed="false">
      <c r="A28" s="18" t="s">
        <v>59</v>
      </c>
      <c r="B28" s="18" t="s">
        <v>115</v>
      </c>
      <c r="C28" s="18" t="s">
        <v>143</v>
      </c>
      <c r="D28" s="18" t="s">
        <v>62</v>
      </c>
      <c r="E28" s="21" t="n">
        <v>46276.4016203704</v>
      </c>
      <c r="F28" s="24" t="n">
        <v>25</v>
      </c>
      <c r="G28" s="22" t="n">
        <v>14200</v>
      </c>
      <c r="H28" s="23" t="n">
        <v>93.23</v>
      </c>
      <c r="I28" s="22" t="n">
        <v>377</v>
      </c>
      <c r="J28" s="23" t="n">
        <f aca="false">I28/G28*100</f>
        <v>2.65492957746479</v>
      </c>
      <c r="K28" s="24" t="s">
        <v>117</v>
      </c>
      <c r="L28" s="24"/>
    </row>
    <row r="29" customFormat="false" ht="15" hidden="false" customHeight="false" outlineLevel="0" collapsed="false">
      <c r="A29" s="18" t="s">
        <v>59</v>
      </c>
      <c r="B29" s="18" t="s">
        <v>115</v>
      </c>
      <c r="C29" s="18" t="s">
        <v>144</v>
      </c>
      <c r="D29" s="18" t="s">
        <v>62</v>
      </c>
      <c r="E29" s="21" t="n">
        <v>46276.622337963</v>
      </c>
      <c r="F29" s="24" t="n">
        <v>25</v>
      </c>
      <c r="G29" s="22" t="n">
        <v>14200</v>
      </c>
      <c r="H29" s="23" t="n">
        <v>94.16</v>
      </c>
      <c r="I29" s="22" t="n">
        <v>327</v>
      </c>
      <c r="J29" s="23" t="n">
        <f aca="false">I29/G29*100</f>
        <v>2.30281690140845</v>
      </c>
      <c r="K29" s="24" t="s">
        <v>117</v>
      </c>
      <c r="L29" s="24"/>
    </row>
    <row r="30" customFormat="false" ht="15" hidden="false" customHeight="false" outlineLevel="0" collapsed="false">
      <c r="A30" s="18" t="s">
        <v>59</v>
      </c>
      <c r="B30" s="18" t="s">
        <v>115</v>
      </c>
      <c r="C30" s="18" t="s">
        <v>145</v>
      </c>
      <c r="D30" s="18" t="s">
        <v>62</v>
      </c>
      <c r="E30" s="21" t="n">
        <v>46273.9786458333</v>
      </c>
      <c r="F30" s="24" t="n">
        <v>25</v>
      </c>
      <c r="G30" s="22" t="n">
        <v>14200</v>
      </c>
      <c r="H30" s="23" t="n">
        <v>93.47</v>
      </c>
      <c r="I30" s="22" t="n">
        <v>328</v>
      </c>
      <c r="J30" s="23" t="n">
        <f aca="false">I30/G30*100</f>
        <v>2.30985915492958</v>
      </c>
      <c r="K30" s="24" t="s">
        <v>117</v>
      </c>
      <c r="L30" s="24"/>
    </row>
    <row r="31" customFormat="false" ht="15" hidden="false" customHeight="false" outlineLevel="0" collapsed="false">
      <c r="A31" s="18" t="s">
        <v>59</v>
      </c>
      <c r="B31" s="18" t="s">
        <v>115</v>
      </c>
      <c r="C31" s="18" t="s">
        <v>146</v>
      </c>
      <c r="D31" s="18" t="s">
        <v>62</v>
      </c>
      <c r="E31" s="21" t="n">
        <v>46276.9326041667</v>
      </c>
      <c r="F31" s="24" t="n">
        <v>24</v>
      </c>
      <c r="G31" s="22" t="n">
        <v>13632</v>
      </c>
      <c r="H31" s="23" t="n">
        <v>90.35</v>
      </c>
      <c r="I31" s="22" t="n">
        <v>321</v>
      </c>
      <c r="J31" s="23" t="n">
        <f aca="false">I31/G31*100</f>
        <v>2.35475352112676</v>
      </c>
      <c r="K31" s="24" t="s">
        <v>117</v>
      </c>
      <c r="L31" s="24"/>
    </row>
    <row r="32" customFormat="false" ht="15" hidden="false" customHeight="false" outlineLevel="0" collapsed="false">
      <c r="A32" s="18" t="s">
        <v>59</v>
      </c>
      <c r="B32" s="18" t="s">
        <v>115</v>
      </c>
      <c r="C32" s="18" t="s">
        <v>147</v>
      </c>
      <c r="D32" s="18" t="s">
        <v>62</v>
      </c>
      <c r="E32" s="21" t="n">
        <v>46274.0329050926</v>
      </c>
      <c r="F32" s="24" t="n">
        <v>25</v>
      </c>
      <c r="G32" s="22" t="n">
        <v>14200</v>
      </c>
      <c r="H32" s="23" t="n">
        <v>93.57</v>
      </c>
      <c r="I32" s="22" t="n">
        <v>255</v>
      </c>
      <c r="J32" s="23" t="n">
        <f aca="false">I32/G32*100</f>
        <v>1.79577464788732</v>
      </c>
      <c r="K32" s="24" t="s">
        <v>117</v>
      </c>
      <c r="L32" s="24"/>
    </row>
    <row r="33" customFormat="false" ht="15" hidden="false" customHeight="false" outlineLevel="0" collapsed="false">
      <c r="A33" s="18" t="s">
        <v>59</v>
      </c>
      <c r="B33" s="18" t="s">
        <v>115</v>
      </c>
      <c r="C33" s="18" t="s">
        <v>148</v>
      </c>
      <c r="D33" s="18" t="s">
        <v>62</v>
      </c>
      <c r="E33" s="21" t="n">
        <v>46282.3051041667</v>
      </c>
      <c r="F33" s="24" t="n">
        <v>24</v>
      </c>
      <c r="G33" s="22" t="n">
        <v>13632</v>
      </c>
      <c r="H33" s="23" t="n">
        <v>92.59</v>
      </c>
      <c r="I33" s="22" t="n">
        <v>124</v>
      </c>
      <c r="J33" s="23" t="n">
        <f aca="false">I33/G33*100</f>
        <v>0.90962441314554</v>
      </c>
      <c r="K33" s="24" t="s">
        <v>117</v>
      </c>
      <c r="L33" s="24"/>
    </row>
    <row r="34" customFormat="false" ht="15" hidden="false" customHeight="false" outlineLevel="0" collapsed="false">
      <c r="A34" s="18" t="s">
        <v>59</v>
      </c>
      <c r="B34" s="18" t="s">
        <v>115</v>
      </c>
      <c r="C34" s="18" t="s">
        <v>149</v>
      </c>
      <c r="D34" s="18" t="s">
        <v>62</v>
      </c>
      <c r="E34" s="21" t="n">
        <v>46274.0876851852</v>
      </c>
      <c r="F34" s="24" t="n">
        <v>25</v>
      </c>
      <c r="G34" s="22" t="n">
        <v>14200</v>
      </c>
      <c r="H34" s="23" t="n">
        <v>95.49</v>
      </c>
      <c r="I34" s="22" t="n">
        <v>268</v>
      </c>
      <c r="J34" s="23" t="n">
        <f aca="false">I34/G34*100</f>
        <v>1.88732394366197</v>
      </c>
      <c r="K34" s="24" t="s">
        <v>117</v>
      </c>
      <c r="L34" s="24"/>
    </row>
    <row r="35" customFormat="false" ht="15" hidden="false" customHeight="false" outlineLevel="0" collapsed="false">
      <c r="A35" s="18" t="s">
        <v>59</v>
      </c>
      <c r="B35" s="18" t="s">
        <v>115</v>
      </c>
      <c r="C35" s="18" t="s">
        <v>150</v>
      </c>
      <c r="D35" s="18" t="s">
        <v>62</v>
      </c>
      <c r="E35" s="21" t="n">
        <v>46272.0170023148</v>
      </c>
      <c r="F35" s="24" t="n">
        <v>25</v>
      </c>
      <c r="G35" s="22" t="n">
        <v>14200</v>
      </c>
      <c r="H35" s="23" t="n">
        <v>93.84</v>
      </c>
      <c r="I35" s="22" t="n">
        <v>348</v>
      </c>
      <c r="J35" s="23" t="n">
        <f aca="false">I35/G35*100</f>
        <v>2.45070422535211</v>
      </c>
      <c r="K35" s="24" t="s">
        <v>117</v>
      </c>
      <c r="L35" s="24"/>
    </row>
    <row r="36" customFormat="false" ht="15" hidden="false" customHeight="false" outlineLevel="0" collapsed="false">
      <c r="A36" s="18" t="s">
        <v>59</v>
      </c>
      <c r="B36" s="18" t="s">
        <v>115</v>
      </c>
      <c r="C36" s="18" t="s">
        <v>151</v>
      </c>
      <c r="D36" s="18" t="s">
        <v>62</v>
      </c>
      <c r="E36" s="21" t="n">
        <v>46281.9405092593</v>
      </c>
      <c r="F36" s="24" t="n">
        <v>25</v>
      </c>
      <c r="G36" s="22" t="n">
        <v>14200</v>
      </c>
      <c r="H36" s="23" t="n">
        <v>96.76</v>
      </c>
      <c r="I36" s="22" t="n">
        <v>157</v>
      </c>
      <c r="J36" s="23" t="n">
        <f aca="false">I36/G36*100</f>
        <v>1.1056338028169</v>
      </c>
      <c r="K36" s="24" t="s">
        <v>117</v>
      </c>
      <c r="L36" s="24"/>
    </row>
    <row r="37" customFormat="false" ht="15" hidden="false" customHeight="false" outlineLevel="0" collapsed="false">
      <c r="A37" s="18" t="s">
        <v>59</v>
      </c>
      <c r="B37" s="18" t="s">
        <v>115</v>
      </c>
      <c r="C37" s="18" t="s">
        <v>152</v>
      </c>
      <c r="D37" s="18" t="s">
        <v>62</v>
      </c>
      <c r="E37" s="21" t="n">
        <v>46282.3535532407</v>
      </c>
      <c r="F37" s="24" t="n">
        <v>24</v>
      </c>
      <c r="G37" s="22" t="n">
        <v>13632</v>
      </c>
      <c r="H37" s="23" t="n">
        <v>96.65</v>
      </c>
      <c r="I37" s="22" t="n">
        <v>116</v>
      </c>
      <c r="J37" s="23" t="n">
        <f aca="false">I37/G37*100</f>
        <v>0.85093896713615</v>
      </c>
      <c r="K37" s="24" t="s">
        <v>117</v>
      </c>
      <c r="L37" s="24"/>
    </row>
    <row r="38" customFormat="false" ht="15" hidden="false" customHeight="false" outlineLevel="0" collapsed="false">
      <c r="A38" s="18" t="s">
        <v>59</v>
      </c>
      <c r="B38" s="18" t="s">
        <v>115</v>
      </c>
      <c r="C38" s="18" t="s">
        <v>153</v>
      </c>
      <c r="D38" s="18" t="s">
        <v>62</v>
      </c>
      <c r="E38" s="21" t="n">
        <v>46282.0470833333</v>
      </c>
      <c r="F38" s="24" t="n">
        <v>25</v>
      </c>
      <c r="G38" s="22" t="n">
        <v>14200</v>
      </c>
      <c r="H38" s="23" t="n">
        <v>95.51</v>
      </c>
      <c r="I38" s="22" t="n">
        <v>113</v>
      </c>
      <c r="J38" s="23" t="n">
        <f aca="false">I38/G38*100</f>
        <v>0.795774647887324</v>
      </c>
      <c r="K38" s="24" t="s">
        <v>117</v>
      </c>
      <c r="L38" s="24"/>
    </row>
    <row r="39" customFormat="false" ht="15" hidden="false" customHeight="false" outlineLevel="0" collapsed="false">
      <c r="A39" s="18" t="s">
        <v>59</v>
      </c>
      <c r="B39" s="18" t="s">
        <v>115</v>
      </c>
      <c r="C39" s="18" t="s">
        <v>154</v>
      </c>
      <c r="D39" s="18" t="s">
        <v>62</v>
      </c>
      <c r="E39" s="21" t="n">
        <v>46276.945150463</v>
      </c>
      <c r="F39" s="24" t="n">
        <v>25</v>
      </c>
      <c r="G39" s="22" t="n">
        <v>14200</v>
      </c>
      <c r="H39" s="23" t="n">
        <v>94.3</v>
      </c>
      <c r="I39" s="22" t="n">
        <v>298</v>
      </c>
      <c r="J39" s="23" t="n">
        <f aca="false">I39/G39*100</f>
        <v>2.09859154929577</v>
      </c>
      <c r="K39" s="24" t="s">
        <v>117</v>
      </c>
      <c r="L39" s="24"/>
    </row>
    <row r="40" customFormat="false" ht="15" hidden="false" customHeight="false" outlineLevel="0" collapsed="false">
      <c r="A40" s="18" t="s">
        <v>59</v>
      </c>
      <c r="B40" s="18" t="s">
        <v>115</v>
      </c>
      <c r="C40" s="18" t="s">
        <v>155</v>
      </c>
      <c r="D40" s="18" t="s">
        <v>62</v>
      </c>
      <c r="E40" s="21" t="n">
        <v>46282.2562152778</v>
      </c>
      <c r="F40" s="24" t="n">
        <v>24</v>
      </c>
      <c r="G40" s="22" t="n">
        <v>13632</v>
      </c>
      <c r="H40" s="23" t="n">
        <v>94.86</v>
      </c>
      <c r="I40" s="22" t="n">
        <v>144</v>
      </c>
      <c r="J40" s="23" t="n">
        <f aca="false">I40/G40*100</f>
        <v>1.05633802816901</v>
      </c>
      <c r="K40" s="24" t="s">
        <v>117</v>
      </c>
      <c r="L40" s="24"/>
    </row>
    <row r="41" customFormat="false" ht="15" hidden="false" customHeight="false" outlineLevel="0" collapsed="false">
      <c r="A41" s="18" t="s">
        <v>59</v>
      </c>
      <c r="B41" s="18" t="s">
        <v>115</v>
      </c>
      <c r="C41" s="18" t="s">
        <v>156</v>
      </c>
      <c r="D41" s="18" t="s">
        <v>62</v>
      </c>
      <c r="E41" s="21" t="n">
        <v>46282.1009837963</v>
      </c>
      <c r="F41" s="24" t="n">
        <v>25</v>
      </c>
      <c r="G41" s="22" t="n">
        <v>14200</v>
      </c>
      <c r="H41" s="23" t="n">
        <v>90.99</v>
      </c>
      <c r="I41" s="22" t="n">
        <v>138</v>
      </c>
      <c r="J41" s="23" t="n">
        <f aca="false">I41/G41*100</f>
        <v>0.971830985915493</v>
      </c>
      <c r="K41" s="24" t="s">
        <v>117</v>
      </c>
      <c r="L41" s="24"/>
    </row>
    <row r="42" customFormat="false" ht="15" hidden="false" customHeight="false" outlineLevel="0" collapsed="false">
      <c r="A42" s="18" t="s">
        <v>59</v>
      </c>
      <c r="B42" s="18" t="s">
        <v>115</v>
      </c>
      <c r="C42" s="18" t="s">
        <v>157</v>
      </c>
      <c r="D42" s="18" t="s">
        <v>62</v>
      </c>
      <c r="E42" s="21" t="n">
        <v>46281.9957175926</v>
      </c>
      <c r="F42" s="24" t="n">
        <v>25</v>
      </c>
      <c r="G42" s="22" t="n">
        <v>14200</v>
      </c>
      <c r="H42" s="23" t="n">
        <v>94.15</v>
      </c>
      <c r="I42" s="22" t="n">
        <v>155</v>
      </c>
      <c r="J42" s="23" t="n">
        <f aca="false">I42/G42*100</f>
        <v>1.09154929577465</v>
      </c>
      <c r="K42" s="24" t="s">
        <v>117</v>
      </c>
      <c r="L42" s="24"/>
    </row>
    <row r="43" customFormat="false" ht="15" hidden="false" customHeight="false" outlineLevel="0" collapsed="false">
      <c r="A43" s="18" t="s">
        <v>59</v>
      </c>
      <c r="B43" s="18" t="s">
        <v>115</v>
      </c>
      <c r="C43" s="18" t="s">
        <v>158</v>
      </c>
      <c r="D43" s="18" t="s">
        <v>62</v>
      </c>
      <c r="E43" s="21" t="n">
        <v>46282.4044328704</v>
      </c>
      <c r="F43" s="24" t="n">
        <v>25</v>
      </c>
      <c r="G43" s="22" t="n">
        <v>14200</v>
      </c>
      <c r="H43" s="23" t="n">
        <v>96.08</v>
      </c>
      <c r="I43" s="22" t="n">
        <v>120</v>
      </c>
      <c r="J43" s="23" t="n">
        <f aca="false">I43/G43*100</f>
        <v>0.845070422535211</v>
      </c>
      <c r="K43" s="24" t="s">
        <v>117</v>
      </c>
      <c r="L43" s="24"/>
    </row>
    <row r="44" customFormat="false" ht="15" hidden="false" customHeight="false" outlineLevel="0" collapsed="false">
      <c r="A44" s="18" t="s">
        <v>59</v>
      </c>
      <c r="B44" s="18" t="s">
        <v>115</v>
      </c>
      <c r="C44" s="18" t="s">
        <v>159</v>
      </c>
      <c r="D44" s="18" t="s">
        <v>62</v>
      </c>
      <c r="E44" s="21" t="n">
        <v>46282.1562152778</v>
      </c>
      <c r="F44" s="24" t="n">
        <v>25</v>
      </c>
      <c r="G44" s="22" t="n">
        <v>14200</v>
      </c>
      <c r="H44" s="23" t="n">
        <v>95.19</v>
      </c>
      <c r="I44" s="22" t="n">
        <v>134</v>
      </c>
      <c r="J44" s="23" t="n">
        <f aca="false">I44/G44*100</f>
        <v>0.943661971830986</v>
      </c>
      <c r="K44" s="24" t="s">
        <v>117</v>
      </c>
      <c r="L44" s="24"/>
    </row>
    <row r="45" customFormat="false" ht="15" hidden="false" customHeight="false" outlineLevel="0" collapsed="false">
      <c r="A45" s="18" t="s">
        <v>59</v>
      </c>
      <c r="B45" s="18" t="s">
        <v>115</v>
      </c>
      <c r="C45" s="18" t="s">
        <v>160</v>
      </c>
      <c r="D45" s="18" t="s">
        <v>62</v>
      </c>
      <c r="E45" s="21" t="n">
        <v>46276.5676851852</v>
      </c>
      <c r="F45" s="24" t="n">
        <v>25</v>
      </c>
      <c r="G45" s="22" t="n">
        <v>14200</v>
      </c>
      <c r="H45" s="23" t="n">
        <v>87.89</v>
      </c>
      <c r="I45" s="22" t="n">
        <v>370</v>
      </c>
      <c r="J45" s="23" t="n">
        <f aca="false">I45/G45*100</f>
        <v>2.6056338028169</v>
      </c>
      <c r="K45" s="24" t="s">
        <v>117</v>
      </c>
      <c r="L45" s="24"/>
    </row>
  </sheetData>
  <autoFilter ref="A1:L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7"/>
    <col collapsed="false" customWidth="true" hidden="false" outlineLevel="0" max="9" min="9" style="0" width="10"/>
    <col collapsed="false" customWidth="true" hidden="false" outlineLevel="0" max="13" min="10" style="0" width="13"/>
  </cols>
  <sheetData>
    <row r="1" customFormat="false" ht="31.5" hidden="false" customHeight="true" outlineLevel="0" collapsed="false">
      <c r="A1" s="19" t="s">
        <v>47</v>
      </c>
      <c r="B1" s="19" t="s">
        <v>48</v>
      </c>
      <c r="C1" s="20" t="s">
        <v>49</v>
      </c>
      <c r="D1" s="20" t="s">
        <v>51</v>
      </c>
      <c r="E1" s="20" t="s">
        <v>50</v>
      </c>
      <c r="F1" s="20" t="s">
        <v>161</v>
      </c>
      <c r="G1" s="20" t="s">
        <v>162</v>
      </c>
      <c r="H1" s="20" t="s">
        <v>163</v>
      </c>
      <c r="I1" s="20" t="s">
        <v>164</v>
      </c>
      <c r="J1" s="20" t="s">
        <v>165</v>
      </c>
      <c r="K1" s="20" t="s">
        <v>166</v>
      </c>
      <c r="L1" s="20" t="s">
        <v>167</v>
      </c>
      <c r="M1" s="19" t="s">
        <v>168</v>
      </c>
    </row>
    <row r="2" customFormat="false" ht="15" hidden="false" customHeight="false" outlineLevel="0" collapsed="false">
      <c r="A2" s="18" t="s">
        <v>59</v>
      </c>
      <c r="B2" s="18" t="s">
        <v>60</v>
      </c>
      <c r="C2" s="18" t="s">
        <v>169</v>
      </c>
      <c r="D2" s="21" t="n">
        <v>46273.0220833333</v>
      </c>
      <c r="E2" s="18" t="s">
        <v>170</v>
      </c>
      <c r="F2" s="23" t="n">
        <v>92.93</v>
      </c>
      <c r="G2" s="23" t="n">
        <v>4.42957746478873</v>
      </c>
      <c r="H2" s="21" t="n">
        <v>46283.9320023148</v>
      </c>
      <c r="I2" s="18" t="s">
        <v>170</v>
      </c>
      <c r="J2" s="23" t="n">
        <v>95.96</v>
      </c>
      <c r="K2" s="23" t="n">
        <v>1.38732394366197</v>
      </c>
      <c r="L2" s="29" t="n">
        <f aca="false">J2-F2</f>
        <v>3.02999999999999</v>
      </c>
      <c r="M2" s="29" t="n">
        <f aca="false">K2-G2</f>
        <v>-3.04225352112676</v>
      </c>
    </row>
    <row r="3" customFormat="false" ht="15" hidden="false" customHeight="false" outlineLevel="0" collapsed="false">
      <c r="A3" s="18" t="s">
        <v>59</v>
      </c>
      <c r="B3" s="18" t="s">
        <v>60</v>
      </c>
      <c r="C3" s="18" t="s">
        <v>171</v>
      </c>
      <c r="D3" s="21" t="n">
        <v>46273.2856944444</v>
      </c>
      <c r="E3" s="18" t="s">
        <v>170</v>
      </c>
      <c r="F3" s="23" t="n">
        <v>91.37</v>
      </c>
      <c r="G3" s="23" t="n">
        <v>4.7887323943662</v>
      </c>
      <c r="H3" s="21" t="n">
        <v>46283.9803587963</v>
      </c>
      <c r="I3" s="18" t="s">
        <v>170</v>
      </c>
      <c r="J3" s="23" t="n">
        <v>94.7</v>
      </c>
      <c r="K3" s="23" t="n">
        <v>1.43661971830986</v>
      </c>
      <c r="L3" s="29" t="n">
        <f aca="false">J3-F3</f>
        <v>3.33</v>
      </c>
      <c r="M3" s="29" t="n">
        <f aca="false">K3-G3</f>
        <v>-3.35211267605634</v>
      </c>
    </row>
    <row r="4" customFormat="false" ht="15" hidden="false" customHeight="false" outlineLevel="0" collapsed="false">
      <c r="A4" s="18" t="s">
        <v>59</v>
      </c>
      <c r="B4" s="18" t="s">
        <v>60</v>
      </c>
      <c r="C4" s="18" t="s">
        <v>172</v>
      </c>
      <c r="D4" s="21" t="n">
        <v>46272.4086805556</v>
      </c>
      <c r="E4" s="18" t="s">
        <v>170</v>
      </c>
      <c r="F4" s="23" t="n">
        <v>89.68</v>
      </c>
      <c r="G4" s="23" t="n">
        <v>6.40845070422535</v>
      </c>
      <c r="H4" s="21" t="n">
        <v>46284.033275463</v>
      </c>
      <c r="I4" s="18" t="s">
        <v>170</v>
      </c>
      <c r="J4" s="23" t="n">
        <v>92.53</v>
      </c>
      <c r="K4" s="23" t="n">
        <v>1.2112676056338</v>
      </c>
      <c r="L4" s="29" t="n">
        <f aca="false">J4-F4</f>
        <v>2.84999999999999</v>
      </c>
      <c r="M4" s="29" t="n">
        <f aca="false">K4-G4</f>
        <v>-5.19718309859155</v>
      </c>
    </row>
    <row r="5" customFormat="false" ht="15" hidden="false" customHeight="false" outlineLevel="0" collapsed="false">
      <c r="A5" s="18" t="s">
        <v>59</v>
      </c>
      <c r="B5" s="18" t="s">
        <v>60</v>
      </c>
      <c r="C5" s="18" t="s">
        <v>173</v>
      </c>
      <c r="D5" s="21" t="n">
        <v>46273.3914467593</v>
      </c>
      <c r="E5" s="18" t="s">
        <v>170</v>
      </c>
      <c r="F5" s="23" t="n">
        <v>84.02</v>
      </c>
      <c r="G5" s="23" t="n">
        <v>5.26638089406001</v>
      </c>
      <c r="H5" s="21" t="n">
        <v>46284.0794328704</v>
      </c>
      <c r="I5" s="18" t="s">
        <v>170</v>
      </c>
      <c r="J5" s="23" t="n">
        <v>87.58</v>
      </c>
      <c r="K5" s="23" t="n">
        <v>1.32424984690753</v>
      </c>
      <c r="L5" s="29" t="n">
        <f aca="false">J5-F5</f>
        <v>3.56</v>
      </c>
      <c r="M5" s="29" t="n">
        <f aca="false">K5-G5</f>
        <v>-3.94213104715248</v>
      </c>
    </row>
    <row r="6" customFormat="false" ht="15" hidden="false" customHeight="false" outlineLevel="0" collapsed="false">
      <c r="A6" s="18" t="s">
        <v>59</v>
      </c>
      <c r="B6" s="18" t="s">
        <v>60</v>
      </c>
      <c r="C6" s="18" t="s">
        <v>174</v>
      </c>
      <c r="D6" s="21" t="n">
        <v>46272.8128240741</v>
      </c>
      <c r="E6" s="18" t="s">
        <v>170</v>
      </c>
      <c r="F6" s="23" t="n">
        <v>92.23</v>
      </c>
      <c r="G6" s="23" t="n">
        <v>4.76056338028169</v>
      </c>
      <c r="H6" s="21" t="n">
        <v>46284.1341203704</v>
      </c>
      <c r="I6" s="18" t="s">
        <v>170</v>
      </c>
      <c r="J6" s="23" t="n">
        <v>95.82</v>
      </c>
      <c r="K6" s="23" t="n">
        <v>1.14788732394366</v>
      </c>
      <c r="L6" s="29" t="n">
        <f aca="false">J6-F6</f>
        <v>3.58999999999999</v>
      </c>
      <c r="M6" s="29" t="n">
        <f aca="false">K6-G6</f>
        <v>-3.61267605633803</v>
      </c>
    </row>
    <row r="7" customFormat="false" ht="15" hidden="false" customHeight="false" outlineLevel="0" collapsed="false">
      <c r="A7" s="18" t="s">
        <v>59</v>
      </c>
      <c r="B7" s="18" t="s">
        <v>60</v>
      </c>
      <c r="C7" s="18" t="s">
        <v>175</v>
      </c>
      <c r="D7" s="21" t="n">
        <v>46273.1810763889</v>
      </c>
      <c r="E7" s="18" t="s">
        <v>170</v>
      </c>
      <c r="F7" s="23" t="n">
        <v>91.38</v>
      </c>
      <c r="G7" s="23" t="n">
        <v>4.79577464788732</v>
      </c>
      <c r="H7" s="21" t="n">
        <v>46284.1822685185</v>
      </c>
      <c r="I7" s="18" t="s">
        <v>170</v>
      </c>
      <c r="J7" s="23" t="n">
        <v>94.9</v>
      </c>
      <c r="K7" s="23" t="n">
        <v>1.33098591549296</v>
      </c>
      <c r="L7" s="29" t="n">
        <f aca="false">J7-F7</f>
        <v>3.52000000000001</v>
      </c>
      <c r="M7" s="29" t="n">
        <f aca="false">K7-G7</f>
        <v>-3.46478873239437</v>
      </c>
    </row>
    <row r="8" customFormat="false" ht="15" hidden="false" customHeight="false" outlineLevel="0" collapsed="false">
      <c r="A8" s="18" t="s">
        <v>59</v>
      </c>
      <c r="B8" s="18" t="s">
        <v>60</v>
      </c>
      <c r="C8" s="18" t="s">
        <v>176</v>
      </c>
      <c r="D8" s="21" t="n">
        <v>46273.0741782407</v>
      </c>
      <c r="E8" s="18" t="s">
        <v>170</v>
      </c>
      <c r="F8" s="23" t="n">
        <v>92.29</v>
      </c>
      <c r="G8" s="23" t="n">
        <v>4.58450704225352</v>
      </c>
      <c r="H8" s="21" t="n">
        <v>46284.2321875</v>
      </c>
      <c r="I8" s="18" t="s">
        <v>170</v>
      </c>
      <c r="J8" s="23" t="n">
        <v>95.83</v>
      </c>
      <c r="K8" s="23" t="n">
        <v>1.05633802816901</v>
      </c>
      <c r="L8" s="29" t="n">
        <f aca="false">J8-F8</f>
        <v>3.53999999999999</v>
      </c>
      <c r="M8" s="29" t="n">
        <f aca="false">K8-G8</f>
        <v>-3.52816901408451</v>
      </c>
    </row>
    <row r="9" customFormat="false" ht="15" hidden="false" customHeight="false" outlineLevel="0" collapsed="false">
      <c r="A9" s="18" t="s">
        <v>59</v>
      </c>
      <c r="B9" s="18" t="s">
        <v>60</v>
      </c>
      <c r="C9" s="18" t="s">
        <v>177</v>
      </c>
      <c r="D9" s="21" t="n">
        <v>46272.7601041667</v>
      </c>
      <c r="E9" s="18" t="s">
        <v>170</v>
      </c>
      <c r="F9" s="23" t="n">
        <v>91.61</v>
      </c>
      <c r="G9" s="23" t="n">
        <v>5.00704225352113</v>
      </c>
      <c r="H9" s="21" t="n">
        <v>46284.281400463</v>
      </c>
      <c r="I9" s="18" t="s">
        <v>170</v>
      </c>
      <c r="J9" s="23" t="n">
        <v>95.44</v>
      </c>
      <c r="K9" s="23" t="n">
        <v>1.19014084507042</v>
      </c>
      <c r="L9" s="29" t="n">
        <f aca="false">J9-F9</f>
        <v>3.83</v>
      </c>
      <c r="M9" s="29" t="n">
        <f aca="false">K9-G9</f>
        <v>-3.8169014084507</v>
      </c>
    </row>
    <row r="10" customFormat="false" ht="15" hidden="false" customHeight="false" outlineLevel="0" collapsed="false">
      <c r="A10" s="18" t="s">
        <v>59</v>
      </c>
      <c r="B10" s="18" t="s">
        <v>60</v>
      </c>
      <c r="C10" s="18" t="s">
        <v>178</v>
      </c>
      <c r="D10" s="21" t="n">
        <v>46273.128599537</v>
      </c>
      <c r="E10" s="18" t="s">
        <v>170</v>
      </c>
      <c r="F10" s="23" t="n">
        <v>90.85</v>
      </c>
      <c r="G10" s="23" t="n">
        <v>4.70422535211268</v>
      </c>
      <c r="H10" s="21" t="n">
        <v>46284.3303009259</v>
      </c>
      <c r="I10" s="18" t="s">
        <v>170</v>
      </c>
      <c r="J10" s="23" t="n">
        <v>94.05</v>
      </c>
      <c r="K10" s="23" t="n">
        <v>1.11971830985916</v>
      </c>
      <c r="L10" s="29" t="n">
        <f aca="false">J10-F10</f>
        <v>3.2</v>
      </c>
      <c r="M10" s="29" t="n">
        <f aca="false">K10-G10</f>
        <v>-3.58450704225352</v>
      </c>
    </row>
    <row r="11" customFormat="false" ht="15" hidden="false" customHeight="false" outlineLevel="0" collapsed="false">
      <c r="A11" s="18" t="s">
        <v>59</v>
      </c>
      <c r="B11" s="18" t="s">
        <v>60</v>
      </c>
      <c r="C11" s="18" t="s">
        <v>179</v>
      </c>
      <c r="D11" s="21" t="n">
        <v>46272.8656365741</v>
      </c>
      <c r="E11" s="18" t="s">
        <v>170</v>
      </c>
      <c r="F11" s="23" t="n">
        <v>89.52</v>
      </c>
      <c r="G11" s="23" t="n">
        <v>4.72535211267606</v>
      </c>
      <c r="H11" s="21" t="n">
        <v>46287.1400810185</v>
      </c>
      <c r="I11" s="18" t="s">
        <v>170</v>
      </c>
      <c r="J11" s="23" t="n">
        <v>92.72</v>
      </c>
      <c r="K11" s="23" t="n">
        <v>1.48591549295775</v>
      </c>
      <c r="L11" s="29" t="n">
        <f aca="false">J11-F11</f>
        <v>3.2</v>
      </c>
      <c r="M11" s="29" t="n">
        <f aca="false">K11-G11</f>
        <v>-3.23943661971831</v>
      </c>
    </row>
    <row r="12" customFormat="false" ht="15" hidden="false" customHeight="false" outlineLevel="0" collapsed="false">
      <c r="A12" s="18" t="s">
        <v>59</v>
      </c>
      <c r="B12" s="18" t="s">
        <v>60</v>
      </c>
      <c r="C12" s="18" t="s">
        <v>180</v>
      </c>
      <c r="D12" s="21" t="n">
        <v>46272.9701273148</v>
      </c>
      <c r="E12" s="18" t="s">
        <v>170</v>
      </c>
      <c r="F12" s="23" t="n">
        <v>90.57</v>
      </c>
      <c r="G12" s="23" t="n">
        <v>4.69718309859155</v>
      </c>
      <c r="H12" s="21" t="n">
        <v>46287.1892013889</v>
      </c>
      <c r="I12" s="18" t="s">
        <v>170</v>
      </c>
      <c r="J12" s="23" t="n">
        <v>93.88</v>
      </c>
      <c r="K12" s="23" t="n">
        <v>1.38732394366197</v>
      </c>
      <c r="L12" s="29" t="n">
        <f aca="false">J12-F12</f>
        <v>3.31</v>
      </c>
      <c r="M12" s="29" t="n">
        <f aca="false">K12-G12</f>
        <v>-3.30985915492958</v>
      </c>
    </row>
    <row r="13" customFormat="false" ht="15" hidden="false" customHeight="false" outlineLevel="0" collapsed="false">
      <c r="A13" s="18" t="s">
        <v>59</v>
      </c>
      <c r="B13" s="18" t="s">
        <v>60</v>
      </c>
      <c r="C13" s="18" t="s">
        <v>181</v>
      </c>
      <c r="D13" s="21" t="n">
        <v>46273.3375231482</v>
      </c>
      <c r="E13" s="18" t="s">
        <v>170</v>
      </c>
      <c r="F13" s="23" t="n">
        <v>92.64</v>
      </c>
      <c r="G13" s="23" t="n">
        <v>4.53521126760563</v>
      </c>
      <c r="H13" s="21" t="n">
        <v>46287.2379976852</v>
      </c>
      <c r="I13" s="18" t="s">
        <v>170</v>
      </c>
      <c r="J13" s="23" t="n">
        <v>95.87</v>
      </c>
      <c r="K13" s="23" t="n">
        <v>1.28169014084507</v>
      </c>
      <c r="L13" s="29" t="n">
        <f aca="false">J13-F13</f>
        <v>3.23</v>
      </c>
      <c r="M13" s="29" t="n">
        <f aca="false">K13-G13</f>
        <v>-3.25352112676056</v>
      </c>
    </row>
    <row r="14" customFormat="false" ht="15" hidden="false" customHeight="false" outlineLevel="0" collapsed="false">
      <c r="A14" s="18" t="s">
        <v>59</v>
      </c>
      <c r="B14" s="18" t="s">
        <v>60</v>
      </c>
      <c r="C14" s="18" t="s">
        <v>182</v>
      </c>
      <c r="D14" s="21" t="n">
        <v>46272.9178819444</v>
      </c>
      <c r="E14" s="18" t="s">
        <v>170</v>
      </c>
      <c r="F14" s="23" t="n">
        <v>93.25</v>
      </c>
      <c r="G14" s="23" t="n">
        <v>4.2887323943662</v>
      </c>
      <c r="H14" s="21" t="n">
        <v>46287.2888773148</v>
      </c>
      <c r="I14" s="18" t="s">
        <v>170</v>
      </c>
      <c r="J14" s="23" t="n">
        <v>96.35</v>
      </c>
      <c r="K14" s="23" t="n">
        <v>1.19718309859155</v>
      </c>
      <c r="L14" s="29" t="n">
        <f aca="false">J14-F14</f>
        <v>3.09999999999999</v>
      </c>
      <c r="M14" s="29" t="n">
        <f aca="false">K14-G14</f>
        <v>-3.09154929577465</v>
      </c>
    </row>
    <row r="15" customFormat="false" ht="15" hidden="false" customHeight="false" outlineLevel="0" collapsed="false">
      <c r="A15" s="18" t="s">
        <v>59</v>
      </c>
      <c r="B15" s="18" t="s">
        <v>60</v>
      </c>
      <c r="C15" s="18" t="s">
        <v>183</v>
      </c>
      <c r="D15" s="21" t="n">
        <v>46273.2330902778</v>
      </c>
      <c r="E15" s="18" t="s">
        <v>170</v>
      </c>
      <c r="F15" s="23" t="n">
        <v>93.15</v>
      </c>
      <c r="G15" s="23" t="n">
        <v>4.56338028169014</v>
      </c>
      <c r="H15" s="21" t="n">
        <v>46287.3399421296</v>
      </c>
      <c r="I15" s="18" t="s">
        <v>170</v>
      </c>
      <c r="J15" s="23" t="n">
        <v>96.32</v>
      </c>
      <c r="K15" s="23" t="n">
        <v>1.3943661971831</v>
      </c>
      <c r="L15" s="29" t="n">
        <f aca="false">J15-F15</f>
        <v>3.16999999999999</v>
      </c>
      <c r="M15" s="29" t="n">
        <f aca="false">K15-G15</f>
        <v>-3.16901408450704</v>
      </c>
    </row>
    <row r="16" customFormat="false" ht="15" hidden="false" customHeight="false" outlineLevel="0" collapsed="false">
      <c r="A16" s="18" t="s">
        <v>59</v>
      </c>
      <c r="B16" s="18" t="s">
        <v>60</v>
      </c>
      <c r="C16" s="18" t="s">
        <v>184</v>
      </c>
      <c r="D16" s="21" t="n">
        <v>46273.7062384259</v>
      </c>
      <c r="E16" s="18" t="s">
        <v>170</v>
      </c>
      <c r="F16" s="23" t="n">
        <v>92.18</v>
      </c>
      <c r="G16" s="23" t="n">
        <v>4.6830985915493</v>
      </c>
      <c r="H16" s="21" t="n">
        <v>46287.3891550926</v>
      </c>
      <c r="I16" s="18" t="s">
        <v>170</v>
      </c>
      <c r="J16" s="23" t="n">
        <v>95.68</v>
      </c>
      <c r="K16" s="23" t="n">
        <v>1.3943661971831</v>
      </c>
      <c r="L16" s="29" t="n">
        <f aca="false">J16-F16</f>
        <v>3.5</v>
      </c>
      <c r="M16" s="29" t="n">
        <f aca="false">K16-G16</f>
        <v>-3.2887323943662</v>
      </c>
    </row>
    <row r="17" customFormat="false" ht="15" hidden="false" customHeight="false" outlineLevel="0" collapsed="false">
      <c r="A17" s="18" t="s">
        <v>59</v>
      </c>
      <c r="B17" s="18" t="s">
        <v>60</v>
      </c>
      <c r="C17" s="18" t="s">
        <v>185</v>
      </c>
      <c r="D17" s="21" t="n">
        <v>46273.6531828704</v>
      </c>
      <c r="E17" s="18" t="s">
        <v>170</v>
      </c>
      <c r="F17" s="23" t="n">
        <v>93.01</v>
      </c>
      <c r="G17" s="23" t="n">
        <v>4.44366197183099</v>
      </c>
      <c r="H17" s="21" t="n">
        <v>46287.436724537</v>
      </c>
      <c r="I17" s="18" t="s">
        <v>170</v>
      </c>
      <c r="J17" s="23" t="n">
        <v>95.97</v>
      </c>
      <c r="K17" s="23" t="n">
        <v>1.6056338028169</v>
      </c>
      <c r="L17" s="29" t="n">
        <f aca="false">J17-F17</f>
        <v>2.95999999999999</v>
      </c>
      <c r="M17" s="29" t="n">
        <f aca="false">K17-G17</f>
        <v>-2.83802816901409</v>
      </c>
    </row>
    <row r="18" customFormat="false" ht="15" hidden="false" customHeight="false" outlineLevel="0" collapsed="false">
      <c r="A18" s="18" t="s">
        <v>59</v>
      </c>
      <c r="B18" s="18" t="s">
        <v>60</v>
      </c>
      <c r="C18" s="18" t="s">
        <v>186</v>
      </c>
      <c r="D18" s="21" t="n">
        <v>46273.7575231482</v>
      </c>
      <c r="E18" s="18" t="s">
        <v>170</v>
      </c>
      <c r="F18" s="23" t="n">
        <v>91.34</v>
      </c>
      <c r="G18" s="23" t="n">
        <v>4.88028169014085</v>
      </c>
      <c r="H18" s="21" t="n">
        <v>46287.4845023148</v>
      </c>
      <c r="I18" s="18" t="s">
        <v>170</v>
      </c>
      <c r="J18" s="23" t="n">
        <v>95.01</v>
      </c>
      <c r="K18" s="23" t="n">
        <v>1.45774647887324</v>
      </c>
      <c r="L18" s="29" t="n">
        <f aca="false">J18-F18</f>
        <v>3.67</v>
      </c>
      <c r="M18" s="29" t="n">
        <f aca="false">K18-G18</f>
        <v>-3.42253521126761</v>
      </c>
    </row>
    <row r="19" customFormat="false" ht="15" hidden="false" customHeight="false" outlineLevel="0" collapsed="false">
      <c r="A19" s="18" t="s">
        <v>59</v>
      </c>
      <c r="B19" s="18" t="s">
        <v>60</v>
      </c>
      <c r="C19" s="18" t="s">
        <v>187</v>
      </c>
      <c r="D19" s="21" t="n">
        <v>46273.8147453704</v>
      </c>
      <c r="E19" s="18" t="s">
        <v>170</v>
      </c>
      <c r="F19" s="23" t="n">
        <v>90.96</v>
      </c>
      <c r="G19" s="23" t="n">
        <v>5.04929577464789</v>
      </c>
      <c r="H19" s="21" t="n">
        <v>46287.534849537</v>
      </c>
      <c r="I19" s="18" t="s">
        <v>170</v>
      </c>
      <c r="J19" s="23" t="n">
        <v>94.43</v>
      </c>
      <c r="K19" s="23" t="n">
        <v>1.66901408450704</v>
      </c>
      <c r="L19" s="29" t="n">
        <f aca="false">J19-F19</f>
        <v>3.47000000000001</v>
      </c>
      <c r="M19" s="29" t="n">
        <f aca="false">K19-G19</f>
        <v>-3.38028169014085</v>
      </c>
    </row>
    <row r="20" customFormat="false" ht="15" hidden="false" customHeight="false" outlineLevel="0" collapsed="false">
      <c r="A20" s="18" t="s">
        <v>59</v>
      </c>
      <c r="B20" s="18" t="s">
        <v>60</v>
      </c>
      <c r="C20" s="18" t="s">
        <v>188</v>
      </c>
      <c r="D20" s="21" t="n">
        <v>46276.3449189815</v>
      </c>
      <c r="E20" s="18" t="s">
        <v>170</v>
      </c>
      <c r="F20" s="23" t="n">
        <v>92.04</v>
      </c>
      <c r="G20" s="23" t="n">
        <v>5.76760563380282</v>
      </c>
      <c r="H20" s="21" t="n">
        <v>46287.5826967593</v>
      </c>
      <c r="I20" s="18" t="s">
        <v>170</v>
      </c>
      <c r="J20" s="23" t="n">
        <v>96.01</v>
      </c>
      <c r="K20" s="23" t="n">
        <v>1.72535211267606</v>
      </c>
      <c r="L20" s="29" t="n">
        <f aca="false">J20-F20</f>
        <v>3.97</v>
      </c>
      <c r="M20" s="29" t="n">
        <f aca="false">K20-G20</f>
        <v>-4.04225352112676</v>
      </c>
    </row>
    <row r="21" customFormat="false" ht="15" hidden="false" customHeight="false" outlineLevel="0" collapsed="false">
      <c r="A21" s="18" t="s">
        <v>59</v>
      </c>
      <c r="B21" s="18" t="s">
        <v>60</v>
      </c>
      <c r="C21" s="18" t="s">
        <v>189</v>
      </c>
      <c r="D21" s="21" t="n">
        <v>46275.9826388889</v>
      </c>
      <c r="E21" s="18" t="s">
        <v>170</v>
      </c>
      <c r="F21" s="23" t="n">
        <v>89.47</v>
      </c>
      <c r="G21" s="23" t="n">
        <v>5.65492957746479</v>
      </c>
      <c r="H21" s="21" t="n">
        <v>46287.6301388889</v>
      </c>
      <c r="I21" s="18" t="s">
        <v>170</v>
      </c>
      <c r="J21" s="23" t="n">
        <v>93.49</v>
      </c>
      <c r="K21" s="23" t="n">
        <v>1.61971830985916</v>
      </c>
      <c r="L21" s="29" t="n">
        <f aca="false">J21-F21</f>
        <v>4.02</v>
      </c>
      <c r="M21" s="29" t="n">
        <f aca="false">K21-G21</f>
        <v>-4.03521126760563</v>
      </c>
    </row>
    <row r="22" customFormat="false" ht="15" hidden="false" customHeight="false" outlineLevel="0" collapsed="false">
      <c r="A22" s="18" t="s">
        <v>59</v>
      </c>
      <c r="B22" s="18" t="s">
        <v>60</v>
      </c>
      <c r="C22" s="18" t="s">
        <v>190</v>
      </c>
      <c r="D22" s="21" t="n">
        <v>46273.8674537037</v>
      </c>
      <c r="E22" s="18" t="s">
        <v>170</v>
      </c>
      <c r="F22" s="23" t="n">
        <v>91.44</v>
      </c>
      <c r="G22" s="23" t="n">
        <v>5.35211267605634</v>
      </c>
      <c r="H22" s="21" t="n">
        <v>46287.6777083333</v>
      </c>
      <c r="I22" s="18" t="s">
        <v>170</v>
      </c>
      <c r="J22" s="23" t="n">
        <v>95.17</v>
      </c>
      <c r="K22" s="23" t="n">
        <v>1.72535211267606</v>
      </c>
      <c r="L22" s="29" t="n">
        <f aca="false">J22-F22</f>
        <v>3.73</v>
      </c>
      <c r="M22" s="29" t="n">
        <f aca="false">K22-G22</f>
        <v>-3.62676056338028</v>
      </c>
    </row>
    <row r="23" customFormat="false" ht="15" hidden="false" customHeight="false" outlineLevel="0" collapsed="false">
      <c r="A23" s="18" t="s">
        <v>59</v>
      </c>
      <c r="B23" s="18" t="s">
        <v>60</v>
      </c>
      <c r="C23" s="18" t="s">
        <v>191</v>
      </c>
      <c r="D23" s="21" t="n">
        <v>46275.9306597222</v>
      </c>
      <c r="E23" s="18" t="s">
        <v>170</v>
      </c>
      <c r="F23" s="23" t="n">
        <v>92.04</v>
      </c>
      <c r="G23" s="23" t="n">
        <v>5.19014084507042</v>
      </c>
      <c r="H23" s="21" t="n">
        <v>46287.7255208333</v>
      </c>
      <c r="I23" s="18" t="s">
        <v>170</v>
      </c>
      <c r="J23" s="23" t="n">
        <v>95.61</v>
      </c>
      <c r="K23" s="23" t="n">
        <v>1.59859154929578</v>
      </c>
      <c r="L23" s="29" t="n">
        <f aca="false">J23-F23</f>
        <v>3.56999999999999</v>
      </c>
      <c r="M23" s="29" t="n">
        <f aca="false">K23-G23</f>
        <v>-3.59154929577465</v>
      </c>
    </row>
    <row r="24" customFormat="false" ht="15" hidden="false" customHeight="false" outlineLevel="0" collapsed="false">
      <c r="A24" s="18" t="s">
        <v>59</v>
      </c>
      <c r="B24" s="18" t="s">
        <v>60</v>
      </c>
      <c r="C24" s="18" t="s">
        <v>192</v>
      </c>
      <c r="D24" s="21" t="n">
        <v>46276.2932638889</v>
      </c>
      <c r="E24" s="18" t="s">
        <v>170</v>
      </c>
      <c r="F24" s="23" t="n">
        <v>89.65</v>
      </c>
      <c r="G24" s="23" t="n">
        <v>5.91549295774648</v>
      </c>
      <c r="H24" s="21" t="n">
        <v>46287.7733912037</v>
      </c>
      <c r="I24" s="18" t="s">
        <v>170</v>
      </c>
      <c r="J24" s="23" t="n">
        <v>93.94</v>
      </c>
      <c r="K24" s="23" t="n">
        <v>1.66197183098592</v>
      </c>
      <c r="L24" s="29" t="n">
        <f aca="false">J24-F24</f>
        <v>4.28999999999999</v>
      </c>
      <c r="M24" s="29" t="n">
        <f aca="false">K24-G24</f>
        <v>-4.25352112676056</v>
      </c>
    </row>
    <row r="25" customFormat="false" ht="15" hidden="false" customHeight="false" outlineLevel="0" collapsed="false">
      <c r="A25" s="18" t="s">
        <v>193</v>
      </c>
      <c r="B25" s="18" t="s">
        <v>194</v>
      </c>
      <c r="C25" s="18" t="s">
        <v>195</v>
      </c>
      <c r="D25" s="21" t="n">
        <v>46272.6442361111</v>
      </c>
      <c r="E25" s="18" t="s">
        <v>170</v>
      </c>
      <c r="F25" s="23" t="n">
        <v>93.71</v>
      </c>
      <c r="G25" s="23" t="n">
        <v>5.12094395280236</v>
      </c>
      <c r="H25" s="21" t="n">
        <v>46289.6067592593</v>
      </c>
      <c r="I25" s="18" t="s">
        <v>170</v>
      </c>
      <c r="J25" s="23" t="n">
        <v>96.79</v>
      </c>
      <c r="K25" s="23" t="n">
        <v>2.00958702064897</v>
      </c>
      <c r="L25" s="29" t="n">
        <f aca="false">J25-F25</f>
        <v>3.08000000000001</v>
      </c>
      <c r="M25" s="29" t="n">
        <f aca="false">K25-G25</f>
        <v>-3.11135693215339</v>
      </c>
    </row>
    <row r="26" customFormat="false" ht="15" hidden="false" customHeight="false" outlineLevel="0" collapsed="false">
      <c r="A26" s="18" t="s">
        <v>193</v>
      </c>
      <c r="B26" s="18" t="s">
        <v>194</v>
      </c>
      <c r="C26" s="18" t="s">
        <v>196</v>
      </c>
      <c r="D26" s="21" t="n">
        <v>46272.7046180556</v>
      </c>
      <c r="E26" s="18" t="s">
        <v>170</v>
      </c>
      <c r="F26" s="23" t="n">
        <v>92.67</v>
      </c>
      <c r="G26" s="23" t="n">
        <v>5.14454277286136</v>
      </c>
      <c r="H26" s="21" t="n">
        <v>46289.6616898148</v>
      </c>
      <c r="I26" s="18" t="s">
        <v>170</v>
      </c>
      <c r="J26" s="23" t="n">
        <v>95.89</v>
      </c>
      <c r="K26" s="23" t="n">
        <v>1.94100294985251</v>
      </c>
      <c r="L26" s="29" t="n">
        <f aca="false">J26-F26</f>
        <v>3.22</v>
      </c>
      <c r="M26" s="29" t="n">
        <f aca="false">K26-G26</f>
        <v>-3.20353982300885</v>
      </c>
    </row>
    <row r="27" customFormat="false" ht="15" hidden="false" customHeight="false" outlineLevel="0" collapsed="false">
      <c r="A27" s="18" t="s">
        <v>193</v>
      </c>
      <c r="B27" s="18" t="s">
        <v>194</v>
      </c>
      <c r="C27" s="18" t="s">
        <v>197</v>
      </c>
      <c r="D27" s="21" t="n">
        <v>46275.3591898148</v>
      </c>
      <c r="E27" s="18" t="s">
        <v>170</v>
      </c>
      <c r="F27" s="23" t="n">
        <v>93.04</v>
      </c>
      <c r="G27" s="23" t="n">
        <v>5.90560471976401</v>
      </c>
      <c r="H27" s="21" t="n">
        <v>46289.7165740741</v>
      </c>
      <c r="I27" s="18" t="s">
        <v>170</v>
      </c>
      <c r="J27" s="23" t="n">
        <v>97.26</v>
      </c>
      <c r="K27" s="23" t="n">
        <v>1.92920353982301</v>
      </c>
      <c r="L27" s="29" t="n">
        <f aca="false">J27-F27</f>
        <v>4.22</v>
      </c>
      <c r="M27" s="29" t="n">
        <f aca="false">K27-G27</f>
        <v>-3.976401179941</v>
      </c>
    </row>
    <row r="28" customFormat="false" ht="15" hidden="false" customHeight="false" outlineLevel="0" collapsed="false">
      <c r="A28" s="18" t="s">
        <v>59</v>
      </c>
      <c r="B28" s="18" t="s">
        <v>60</v>
      </c>
      <c r="C28" s="18" t="s">
        <v>198</v>
      </c>
      <c r="D28" s="21" t="n">
        <v>46274.8199884259</v>
      </c>
      <c r="E28" s="18" t="s">
        <v>170</v>
      </c>
      <c r="F28" s="23" t="n">
        <v>89.22</v>
      </c>
      <c r="G28" s="23" t="n">
        <v>5.35915492957747</v>
      </c>
      <c r="H28" s="21" t="n">
        <v>46289.7436458333</v>
      </c>
      <c r="I28" s="18" t="s">
        <v>199</v>
      </c>
      <c r="J28" s="23" t="n">
        <v>93.52</v>
      </c>
      <c r="K28" s="23" t="n">
        <v>1.09154929577465</v>
      </c>
      <c r="L28" s="29" t="n">
        <f aca="false">J28-F28</f>
        <v>4.3</v>
      </c>
      <c r="M28" s="29" t="n">
        <f aca="false">K28-G28</f>
        <v>-4.26760563380282</v>
      </c>
    </row>
    <row r="29" customFormat="false" ht="15" hidden="false" customHeight="false" outlineLevel="0" collapsed="false">
      <c r="A29" s="18" t="s">
        <v>193</v>
      </c>
      <c r="B29" s="18" t="s">
        <v>194</v>
      </c>
      <c r="C29" s="18" t="s">
        <v>200</v>
      </c>
      <c r="D29" s="21" t="n">
        <v>46275.1212962963</v>
      </c>
      <c r="E29" s="18" t="s">
        <v>170</v>
      </c>
      <c r="F29" s="23" t="n">
        <v>91.87</v>
      </c>
      <c r="G29" s="23" t="n">
        <v>5.99410029498525</v>
      </c>
      <c r="H29" s="21" t="n">
        <v>46289.772025463</v>
      </c>
      <c r="I29" s="18" t="s">
        <v>170</v>
      </c>
      <c r="J29" s="23" t="n">
        <v>96.08</v>
      </c>
      <c r="K29" s="23" t="n">
        <v>1.85840707964602</v>
      </c>
      <c r="L29" s="29" t="n">
        <f aca="false">J29-F29</f>
        <v>4.20999999999999</v>
      </c>
      <c r="M29" s="29" t="n">
        <f aca="false">K29-G29</f>
        <v>-4.13569321533923</v>
      </c>
    </row>
    <row r="30" customFormat="false" ht="15" hidden="false" customHeight="false" outlineLevel="0" collapsed="false">
      <c r="A30" s="18" t="s">
        <v>59</v>
      </c>
      <c r="B30" s="18" t="s">
        <v>60</v>
      </c>
      <c r="C30" s="18" t="s">
        <v>201</v>
      </c>
      <c r="D30" s="21" t="n">
        <v>46274.2997569444</v>
      </c>
      <c r="E30" s="18" t="s">
        <v>170</v>
      </c>
      <c r="F30" s="23" t="n">
        <v>90.44</v>
      </c>
      <c r="G30" s="23" t="n">
        <v>5.32394366197183</v>
      </c>
      <c r="H30" s="21" t="n">
        <v>46289.807337963</v>
      </c>
      <c r="I30" s="18" t="s">
        <v>199</v>
      </c>
      <c r="J30" s="23" t="n">
        <v>94.85</v>
      </c>
      <c r="K30" s="23" t="n">
        <v>1.00704225352113</v>
      </c>
      <c r="L30" s="29" t="n">
        <f aca="false">J30-F30</f>
        <v>4.41</v>
      </c>
      <c r="M30" s="29" t="n">
        <f aca="false">K30-G30</f>
        <v>-4.3169014084507</v>
      </c>
    </row>
    <row r="31" customFormat="false" ht="15" hidden="false" customHeight="false" outlineLevel="0" collapsed="false">
      <c r="A31" s="18" t="s">
        <v>193</v>
      </c>
      <c r="B31" s="18" t="s">
        <v>194</v>
      </c>
      <c r="C31" s="18" t="s">
        <v>202</v>
      </c>
      <c r="D31" s="21" t="n">
        <v>46275.4238310185</v>
      </c>
      <c r="E31" s="18" t="s">
        <v>170</v>
      </c>
      <c r="F31" s="23" t="n">
        <v>93</v>
      </c>
      <c r="G31" s="23" t="n">
        <v>5.69911504424779</v>
      </c>
      <c r="H31" s="21" t="n">
        <v>46289.826875</v>
      </c>
      <c r="I31" s="18" t="s">
        <v>170</v>
      </c>
      <c r="J31" s="23" t="n">
        <v>97.2</v>
      </c>
      <c r="K31" s="23" t="n">
        <v>1.62241887905605</v>
      </c>
      <c r="L31" s="29" t="n">
        <f aca="false">J31-F31</f>
        <v>4.2</v>
      </c>
      <c r="M31" s="29" t="n">
        <f aca="false">K31-G31</f>
        <v>-4.07669616519174</v>
      </c>
    </row>
    <row r="32" customFormat="false" ht="15" hidden="false" customHeight="false" outlineLevel="0" collapsed="false">
      <c r="A32" s="18" t="s">
        <v>193</v>
      </c>
      <c r="B32" s="18" t="s">
        <v>194</v>
      </c>
      <c r="C32" s="18" t="s">
        <v>203</v>
      </c>
      <c r="D32" s="21" t="n">
        <v>46275.4885763889</v>
      </c>
      <c r="E32" s="18" t="s">
        <v>170</v>
      </c>
      <c r="F32" s="23" t="n">
        <v>93.81</v>
      </c>
      <c r="G32" s="23" t="n">
        <v>5.25663716814159</v>
      </c>
      <c r="H32" s="21" t="n">
        <v>46289.8829398148</v>
      </c>
      <c r="I32" s="18" t="s">
        <v>170</v>
      </c>
      <c r="J32" s="23" t="n">
        <v>97.62</v>
      </c>
      <c r="K32" s="23" t="n">
        <v>1.6047197640118</v>
      </c>
      <c r="L32" s="29" t="n">
        <f aca="false">J32-F32</f>
        <v>3.81</v>
      </c>
      <c r="M32" s="29" t="n">
        <f aca="false">K32-G32</f>
        <v>-3.6519174041298</v>
      </c>
    </row>
    <row r="33" customFormat="false" ht="15" hidden="false" customHeight="false" outlineLevel="0" collapsed="false">
      <c r="A33" s="18" t="s">
        <v>193</v>
      </c>
      <c r="B33" s="18" t="s">
        <v>194</v>
      </c>
      <c r="C33" s="18" t="s">
        <v>204</v>
      </c>
      <c r="D33" s="21" t="n">
        <v>46275.0616203704</v>
      </c>
      <c r="E33" s="18" t="s">
        <v>170</v>
      </c>
      <c r="F33" s="23" t="n">
        <v>92.94</v>
      </c>
      <c r="G33" s="23" t="n">
        <v>5.56342182890855</v>
      </c>
      <c r="H33" s="21" t="n">
        <v>46289.9419444444</v>
      </c>
      <c r="I33" s="18" t="s">
        <v>170</v>
      </c>
      <c r="J33" s="23" t="n">
        <v>96.86</v>
      </c>
      <c r="K33" s="23" t="n">
        <v>1.75221238938053</v>
      </c>
      <c r="L33" s="29" t="n">
        <f aca="false">J33-F33</f>
        <v>3.92</v>
      </c>
      <c r="M33" s="29" t="n">
        <f aca="false">K33-G33</f>
        <v>-3.81120943952802</v>
      </c>
    </row>
    <row r="34" customFormat="false" ht="15" hidden="false" customHeight="false" outlineLevel="0" collapsed="false">
      <c r="A34" s="18" t="s">
        <v>193</v>
      </c>
      <c r="B34" s="18" t="s">
        <v>194</v>
      </c>
      <c r="C34" s="18" t="s">
        <v>205</v>
      </c>
      <c r="D34" s="21" t="n">
        <v>46275.6075347222</v>
      </c>
      <c r="E34" s="18" t="s">
        <v>170</v>
      </c>
      <c r="F34" s="23" t="n">
        <v>92.65</v>
      </c>
      <c r="G34" s="23" t="n">
        <v>5.25663716814159</v>
      </c>
      <c r="H34" s="21" t="n">
        <v>46290.0000115741</v>
      </c>
      <c r="I34" s="18" t="s">
        <v>170</v>
      </c>
      <c r="J34" s="23" t="n">
        <v>96.12</v>
      </c>
      <c r="K34" s="23" t="n">
        <v>1.82890855457227</v>
      </c>
      <c r="L34" s="29" t="n">
        <f aca="false">J34-F34</f>
        <v>3.47</v>
      </c>
      <c r="M34" s="29" t="n">
        <f aca="false">K34-G34</f>
        <v>-3.42772861356932</v>
      </c>
    </row>
    <row r="35" customFormat="false" ht="15" hidden="false" customHeight="false" outlineLevel="0" collapsed="false">
      <c r="A35" s="18" t="s">
        <v>193</v>
      </c>
      <c r="B35" s="18" t="s">
        <v>194</v>
      </c>
      <c r="C35" s="18" t="s">
        <v>206</v>
      </c>
      <c r="D35" s="21" t="n">
        <v>46275.2399537037</v>
      </c>
      <c r="E35" s="18" t="s">
        <v>170</v>
      </c>
      <c r="F35" s="23" t="n">
        <v>92.45</v>
      </c>
      <c r="G35" s="23" t="n">
        <v>6.19469026548673</v>
      </c>
      <c r="H35" s="21" t="n">
        <v>46290.0562152778</v>
      </c>
      <c r="I35" s="18" t="s">
        <v>170</v>
      </c>
      <c r="J35" s="23" t="n">
        <v>97.16</v>
      </c>
      <c r="K35" s="23" t="n">
        <v>1.63421828908555</v>
      </c>
      <c r="L35" s="29" t="n">
        <f aca="false">J35-F35</f>
        <v>4.70999999999999</v>
      </c>
      <c r="M35" s="29" t="n">
        <f aca="false">K35-G35</f>
        <v>-4.56047197640118</v>
      </c>
    </row>
    <row r="36" customFormat="false" ht="15" hidden="false" customHeight="false" outlineLevel="0" collapsed="false">
      <c r="A36" s="18" t="s">
        <v>59</v>
      </c>
      <c r="B36" s="18" t="s">
        <v>60</v>
      </c>
      <c r="C36" s="18" t="s">
        <v>207</v>
      </c>
      <c r="D36" s="21" t="n">
        <v>46274.8723842593</v>
      </c>
      <c r="E36" s="18" t="s">
        <v>170</v>
      </c>
      <c r="F36" s="23" t="n">
        <v>88.31</v>
      </c>
      <c r="G36" s="23" t="n">
        <v>5.22535211267606</v>
      </c>
      <c r="H36" s="21" t="n">
        <v>46290.0848958333</v>
      </c>
      <c r="I36" s="18" t="s">
        <v>199</v>
      </c>
      <c r="J36" s="23" t="n">
        <v>92.54</v>
      </c>
      <c r="K36" s="23" t="n">
        <v>1</v>
      </c>
      <c r="L36" s="29" t="n">
        <f aca="false">J36-F36</f>
        <v>4.23</v>
      </c>
      <c r="M36" s="29" t="n">
        <f aca="false">K36-G36</f>
        <v>-4.22535211267606</v>
      </c>
    </row>
    <row r="37" customFormat="false" ht="15" hidden="false" customHeight="false" outlineLevel="0" collapsed="false">
      <c r="A37" s="18" t="s">
        <v>193</v>
      </c>
      <c r="B37" s="18" t="s">
        <v>194</v>
      </c>
      <c r="C37" s="18" t="s">
        <v>208</v>
      </c>
      <c r="D37" s="21" t="n">
        <v>46275.2992013889</v>
      </c>
      <c r="E37" s="18" t="s">
        <v>170</v>
      </c>
      <c r="F37" s="23" t="n">
        <v>92.15</v>
      </c>
      <c r="G37" s="23" t="n">
        <v>5.5693215339233</v>
      </c>
      <c r="H37" s="21" t="n">
        <v>46290.1133101852</v>
      </c>
      <c r="I37" s="18" t="s">
        <v>170</v>
      </c>
      <c r="J37" s="23" t="n">
        <v>96.27</v>
      </c>
      <c r="K37" s="23" t="n">
        <v>1.61061946902655</v>
      </c>
      <c r="L37" s="29" t="n">
        <f aca="false">J37-F37</f>
        <v>4.11999999999999</v>
      </c>
      <c r="M37" s="29" t="n">
        <f aca="false">K37-G37</f>
        <v>-3.95870206489676</v>
      </c>
    </row>
    <row r="38" customFormat="false" ht="15" hidden="false" customHeight="false" outlineLevel="0" collapsed="false">
      <c r="A38" s="18" t="s">
        <v>59</v>
      </c>
      <c r="B38" s="18" t="s">
        <v>60</v>
      </c>
      <c r="C38" s="18" t="s">
        <v>209</v>
      </c>
      <c r="D38" s="21" t="n">
        <v>46274.7667708333</v>
      </c>
      <c r="E38" s="18" t="s">
        <v>170</v>
      </c>
      <c r="F38" s="23" t="n">
        <v>88.61</v>
      </c>
      <c r="G38" s="23" t="n">
        <v>5.83802816901409</v>
      </c>
      <c r="H38" s="21" t="n">
        <v>46290.157662037</v>
      </c>
      <c r="I38" s="18" t="s">
        <v>199</v>
      </c>
      <c r="J38" s="23" t="n">
        <v>93.4</v>
      </c>
      <c r="K38" s="23" t="n">
        <v>1.02816901408451</v>
      </c>
      <c r="L38" s="29" t="n">
        <f aca="false">J38-F38</f>
        <v>4.79000000000001</v>
      </c>
      <c r="M38" s="29" t="n">
        <f aca="false">K38-G38</f>
        <v>-4.80985915492958</v>
      </c>
    </row>
    <row r="39" customFormat="false" ht="15" hidden="false" customHeight="false" outlineLevel="0" collapsed="false">
      <c r="A39" s="18" t="s">
        <v>193</v>
      </c>
      <c r="B39" s="18" t="s">
        <v>194</v>
      </c>
      <c r="C39" s="18" t="s">
        <v>210</v>
      </c>
      <c r="D39" s="21" t="n">
        <v>46275.5483564815</v>
      </c>
      <c r="E39" s="18" t="s">
        <v>170</v>
      </c>
      <c r="F39" s="23" t="n">
        <v>93.13</v>
      </c>
      <c r="G39" s="23" t="n">
        <v>5.53392330383481</v>
      </c>
      <c r="H39" s="21" t="n">
        <v>46290.1688078704</v>
      </c>
      <c r="I39" s="18" t="s">
        <v>170</v>
      </c>
      <c r="J39" s="23" t="n">
        <v>96.86</v>
      </c>
      <c r="K39" s="23" t="n">
        <v>1.86430678466077</v>
      </c>
      <c r="L39" s="29" t="n">
        <f aca="false">J39-F39</f>
        <v>3.73</v>
      </c>
      <c r="M39" s="29" t="n">
        <f aca="false">K39-G39</f>
        <v>-3.66961651917404</v>
      </c>
    </row>
    <row r="40" customFormat="false" ht="15" hidden="false" customHeight="false" outlineLevel="0" collapsed="false">
      <c r="A40" s="18" t="s">
        <v>59</v>
      </c>
      <c r="B40" s="18" t="s">
        <v>60</v>
      </c>
      <c r="C40" s="18" t="s">
        <v>211</v>
      </c>
      <c r="D40" s="21" t="n">
        <v>46274.6112384259</v>
      </c>
      <c r="E40" s="18" t="s">
        <v>170</v>
      </c>
      <c r="F40" s="23" t="n">
        <v>89.54</v>
      </c>
      <c r="G40" s="23" t="n">
        <v>5.73239436619718</v>
      </c>
      <c r="H40" s="21" t="n">
        <v>46290.2217361111</v>
      </c>
      <c r="I40" s="18" t="s">
        <v>199</v>
      </c>
      <c r="J40" s="23" t="n">
        <v>94.51</v>
      </c>
      <c r="K40" s="23" t="n">
        <v>0.732394366197183</v>
      </c>
      <c r="L40" s="29" t="n">
        <f aca="false">J40-F40</f>
        <v>4.97</v>
      </c>
      <c r="M40" s="29" t="n">
        <f aca="false">K40-G40</f>
        <v>-5</v>
      </c>
    </row>
    <row r="41" customFormat="false" ht="15" hidden="false" customHeight="false" outlineLevel="0" collapsed="false">
      <c r="A41" s="18" t="s">
        <v>193</v>
      </c>
      <c r="B41" s="18" t="s">
        <v>194</v>
      </c>
      <c r="C41" s="18" t="s">
        <v>212</v>
      </c>
      <c r="D41" s="21" t="n">
        <v>46275.1805671296</v>
      </c>
      <c r="E41" s="18" t="s">
        <v>170</v>
      </c>
      <c r="F41" s="23" t="n">
        <v>92.64</v>
      </c>
      <c r="G41" s="23" t="n">
        <v>6.11799410029499</v>
      </c>
      <c r="H41" s="21" t="n">
        <v>46290.224849537</v>
      </c>
      <c r="I41" s="18" t="s">
        <v>170</v>
      </c>
      <c r="J41" s="23" t="n">
        <v>97.33</v>
      </c>
      <c r="K41" s="23" t="n">
        <v>1.55162241887906</v>
      </c>
      <c r="L41" s="29" t="n">
        <f aca="false">J41-F41</f>
        <v>4.69</v>
      </c>
      <c r="M41" s="29" t="n">
        <f aca="false">K41-G41</f>
        <v>-4.56637168141593</v>
      </c>
    </row>
    <row r="42" customFormat="false" ht="15" hidden="false" customHeight="false" outlineLevel="0" collapsed="false">
      <c r="A42" s="18" t="s">
        <v>59</v>
      </c>
      <c r="B42" s="18" t="s">
        <v>60</v>
      </c>
      <c r="C42" s="18" t="s">
        <v>213</v>
      </c>
      <c r="D42" s="21" t="n">
        <v>46276.1905208333</v>
      </c>
      <c r="E42" s="18" t="s">
        <v>170</v>
      </c>
      <c r="F42" s="23" t="n">
        <v>91.72</v>
      </c>
      <c r="G42" s="23" t="n">
        <v>5.58450704225352</v>
      </c>
      <c r="H42" s="21" t="n">
        <v>46290.276875</v>
      </c>
      <c r="I42" s="18" t="s">
        <v>170</v>
      </c>
      <c r="J42" s="23" t="n">
        <v>96.04</v>
      </c>
      <c r="K42" s="23" t="n">
        <v>1.27464788732394</v>
      </c>
      <c r="L42" s="29" t="n">
        <f aca="false">J42-F42</f>
        <v>4.32000000000001</v>
      </c>
      <c r="M42" s="29" t="n">
        <f aca="false">K42-G42</f>
        <v>-4.30985915492958</v>
      </c>
    </row>
    <row r="43" customFormat="false" ht="15" hidden="false" customHeight="false" outlineLevel="0" collapsed="false">
      <c r="A43" s="18" t="s">
        <v>59</v>
      </c>
      <c r="B43" s="18" t="s">
        <v>60</v>
      </c>
      <c r="C43" s="18" t="s">
        <v>214</v>
      </c>
      <c r="D43" s="21" t="n">
        <v>46276.1386921296</v>
      </c>
      <c r="E43" s="18" t="s">
        <v>170</v>
      </c>
      <c r="F43" s="23" t="n">
        <v>90.11</v>
      </c>
      <c r="G43" s="23" t="n">
        <v>5.90845070422535</v>
      </c>
      <c r="H43" s="21" t="n">
        <v>46290.3246180556</v>
      </c>
      <c r="I43" s="18" t="s">
        <v>170</v>
      </c>
      <c r="J43" s="23" t="n">
        <v>94.65</v>
      </c>
      <c r="K43" s="23" t="n">
        <v>1.38028169014085</v>
      </c>
      <c r="L43" s="29" t="n">
        <f aca="false">J43-F43</f>
        <v>4.54000000000001</v>
      </c>
      <c r="M43" s="29" t="n">
        <f aca="false">K43-G43</f>
        <v>-4.52816901408451</v>
      </c>
    </row>
    <row r="44" customFormat="false" ht="15" hidden="false" customHeight="false" outlineLevel="0" collapsed="false">
      <c r="A44" s="18" t="s">
        <v>59</v>
      </c>
      <c r="B44" s="18" t="s">
        <v>60</v>
      </c>
      <c r="C44" s="18" t="s">
        <v>215</v>
      </c>
      <c r="D44" s="21" t="n">
        <v>46276.0860069445</v>
      </c>
      <c r="E44" s="18" t="s">
        <v>170</v>
      </c>
      <c r="F44" s="23" t="n">
        <v>91.45</v>
      </c>
      <c r="G44" s="23" t="n">
        <v>5.85211267605634</v>
      </c>
      <c r="H44" s="21" t="n">
        <v>46290.3742592593</v>
      </c>
      <c r="I44" s="18" t="s">
        <v>170</v>
      </c>
      <c r="J44" s="23" t="n">
        <v>95.89</v>
      </c>
      <c r="K44" s="23" t="n">
        <v>1.35211267605634</v>
      </c>
      <c r="L44" s="29" t="n">
        <f aca="false">J44-F44</f>
        <v>4.44</v>
      </c>
      <c r="M44" s="29" t="n">
        <f aca="false">K44-G44</f>
        <v>-4.5</v>
      </c>
    </row>
    <row r="45" customFormat="false" ht="15" hidden="false" customHeight="false" outlineLevel="0" collapsed="false">
      <c r="A45" s="18" t="s">
        <v>59</v>
      </c>
      <c r="B45" s="18" t="s">
        <v>60</v>
      </c>
      <c r="C45" s="18" t="s">
        <v>216</v>
      </c>
      <c r="D45" s="21" t="n">
        <v>46276.0340972222</v>
      </c>
      <c r="E45" s="18" t="s">
        <v>170</v>
      </c>
      <c r="F45" s="23" t="n">
        <v>91.4</v>
      </c>
      <c r="G45" s="23" t="n">
        <v>5.53521126760563</v>
      </c>
      <c r="H45" s="21" t="n">
        <v>46290.4315162037</v>
      </c>
      <c r="I45" s="18" t="s">
        <v>170</v>
      </c>
      <c r="J45" s="23" t="n">
        <v>95.79</v>
      </c>
      <c r="K45" s="23" t="n">
        <v>1.14084507042254</v>
      </c>
      <c r="L45" s="29" t="n">
        <f aca="false">J45-F45</f>
        <v>4.39</v>
      </c>
      <c r="M45" s="29" t="n">
        <f aca="false">K45-G45</f>
        <v>-4.3943661971831</v>
      </c>
    </row>
    <row r="46" customFormat="false" ht="15" hidden="false" customHeight="false" outlineLevel="0" collapsed="false">
      <c r="A46" s="18" t="s">
        <v>59</v>
      </c>
      <c r="B46" s="18" t="s">
        <v>60</v>
      </c>
      <c r="C46" s="18" t="s">
        <v>217</v>
      </c>
      <c r="D46" s="21" t="n">
        <v>46276.2417361111</v>
      </c>
      <c r="E46" s="18" t="s">
        <v>170</v>
      </c>
      <c r="F46" s="23" t="n">
        <v>90.26</v>
      </c>
      <c r="G46" s="23" t="n">
        <v>5.16197183098592</v>
      </c>
      <c r="H46" s="21" t="n">
        <v>46290.4897106482</v>
      </c>
      <c r="I46" s="18" t="s">
        <v>170</v>
      </c>
      <c r="J46" s="23" t="n">
        <v>93.89</v>
      </c>
      <c r="K46" s="23" t="n">
        <v>1.07746478873239</v>
      </c>
      <c r="L46" s="29" t="n">
        <f aca="false">J46-F46</f>
        <v>3.63</v>
      </c>
      <c r="M46" s="29" t="n">
        <f aca="false">K46-G46</f>
        <v>-4.08450704225352</v>
      </c>
    </row>
    <row r="47" customFormat="false" ht="15" hidden="false" customHeight="false" outlineLevel="0" collapsed="false">
      <c r="A47" s="18" t="s">
        <v>59</v>
      </c>
      <c r="B47" s="18" t="s">
        <v>60</v>
      </c>
      <c r="C47" s="18" t="s">
        <v>218</v>
      </c>
      <c r="D47" s="21" t="n">
        <v>46277.2281018519</v>
      </c>
      <c r="E47" s="18" t="s">
        <v>170</v>
      </c>
      <c r="F47" s="23" t="n">
        <v>90.52</v>
      </c>
      <c r="G47" s="23" t="n">
        <v>5.90845070422535</v>
      </c>
      <c r="H47" s="21" t="n">
        <v>46290.5806597222</v>
      </c>
      <c r="I47" s="18" t="s">
        <v>170</v>
      </c>
      <c r="J47" s="23" t="n">
        <v>95.12</v>
      </c>
      <c r="K47" s="23" t="n">
        <v>1.33098591549296</v>
      </c>
      <c r="L47" s="29" t="n">
        <f aca="false">J47-F47</f>
        <v>4.60000000000001</v>
      </c>
      <c r="M47" s="29" t="n">
        <f aca="false">K47-G47</f>
        <v>-4.57746478873239</v>
      </c>
    </row>
    <row r="48" customFormat="false" ht="15" hidden="false" customHeight="false" outlineLevel="0" collapsed="false">
      <c r="A48" s="18" t="s">
        <v>59</v>
      </c>
      <c r="B48" s="18" t="s">
        <v>60</v>
      </c>
      <c r="C48" s="18" t="s">
        <v>219</v>
      </c>
      <c r="D48" s="21" t="n">
        <v>46279.4000231482</v>
      </c>
      <c r="E48" s="18" t="s">
        <v>170</v>
      </c>
      <c r="F48" s="23" t="n">
        <v>92.02</v>
      </c>
      <c r="G48" s="23" t="n">
        <v>5.67973055725658</v>
      </c>
      <c r="H48" s="21" t="n">
        <v>46290.6261921296</v>
      </c>
      <c r="I48" s="18" t="s">
        <v>170</v>
      </c>
      <c r="J48" s="23" t="n">
        <v>96.53</v>
      </c>
      <c r="K48" s="23" t="n">
        <v>1.23239436619718</v>
      </c>
      <c r="L48" s="29" t="n">
        <f aca="false">J48-F48</f>
        <v>4.51000000000001</v>
      </c>
      <c r="M48" s="29" t="n">
        <f aca="false">K48-G48</f>
        <v>-4.4473361910594</v>
      </c>
    </row>
    <row r="49" customFormat="false" ht="15" hidden="false" customHeight="false" outlineLevel="0" collapsed="false">
      <c r="A49" s="18" t="s">
        <v>59</v>
      </c>
      <c r="B49" s="18" t="s">
        <v>60</v>
      </c>
      <c r="C49" s="18" t="s">
        <v>220</v>
      </c>
      <c r="D49" s="21" t="n">
        <v>46279.3941087963</v>
      </c>
      <c r="E49" s="18" t="s">
        <v>170</v>
      </c>
      <c r="F49" s="23" t="n">
        <v>91.25</v>
      </c>
      <c r="G49" s="23" t="n">
        <v>5.48591549295775</v>
      </c>
      <c r="H49" s="21" t="n">
        <v>46290.6747222222</v>
      </c>
      <c r="I49" s="18" t="s">
        <v>170</v>
      </c>
      <c r="J49" s="23" t="n">
        <v>95.61</v>
      </c>
      <c r="K49" s="23" t="n">
        <v>1.08450704225352</v>
      </c>
      <c r="L49" s="29" t="n">
        <f aca="false">J49-F49</f>
        <v>4.36</v>
      </c>
      <c r="M49" s="29" t="n">
        <f aca="false">K49-G49</f>
        <v>-4.40140845070423</v>
      </c>
    </row>
    <row r="50" customFormat="false" ht="15" hidden="false" customHeight="false" outlineLevel="0" collapsed="false">
      <c r="A50" s="18" t="s">
        <v>59</v>
      </c>
      <c r="B50" s="18" t="s">
        <v>60</v>
      </c>
      <c r="C50" s="18" t="s">
        <v>221</v>
      </c>
      <c r="D50" s="21" t="n">
        <v>46277.9785185185</v>
      </c>
      <c r="E50" s="18" t="s">
        <v>170</v>
      </c>
      <c r="F50" s="23" t="n">
        <v>91.22</v>
      </c>
      <c r="G50" s="23" t="n">
        <v>5.74647887323944</v>
      </c>
      <c r="H50" s="21" t="n">
        <v>46290.7240162037</v>
      </c>
      <c r="I50" s="18" t="s">
        <v>170</v>
      </c>
      <c r="J50" s="23" t="n">
        <v>95.69</v>
      </c>
      <c r="K50" s="23" t="n">
        <v>1.23943661971831</v>
      </c>
      <c r="L50" s="29" t="n">
        <f aca="false">J50-F50</f>
        <v>4.47</v>
      </c>
      <c r="M50" s="29" t="n">
        <f aca="false">K50-G50</f>
        <v>-4.50704225352113</v>
      </c>
    </row>
    <row r="51" customFormat="false" ht="15" hidden="false" customHeight="false" outlineLevel="0" collapsed="false">
      <c r="A51" s="18" t="s">
        <v>59</v>
      </c>
      <c r="B51" s="18" t="s">
        <v>60</v>
      </c>
      <c r="C51" s="18" t="s">
        <v>222</v>
      </c>
      <c r="D51" s="21" t="n">
        <v>46277.3334606482</v>
      </c>
      <c r="E51" s="18" t="s">
        <v>170</v>
      </c>
      <c r="F51" s="23" t="n">
        <v>91.7</v>
      </c>
      <c r="G51" s="23" t="n">
        <v>5.97183098591549</v>
      </c>
      <c r="H51" s="21" t="n">
        <v>46290.7730787037</v>
      </c>
      <c r="I51" s="18" t="s">
        <v>170</v>
      </c>
      <c r="J51" s="23" t="n">
        <v>96.61</v>
      </c>
      <c r="K51" s="23" t="n">
        <v>1.03521126760563</v>
      </c>
      <c r="L51" s="29" t="n">
        <f aca="false">J51-F51</f>
        <v>4.91</v>
      </c>
      <c r="M51" s="29" t="n">
        <f aca="false">K51-G51</f>
        <v>-4.93661971830986</v>
      </c>
    </row>
    <row r="52" customFormat="false" ht="15" hidden="false" customHeight="false" outlineLevel="0" collapsed="false">
      <c r="A52" s="18" t="s">
        <v>59</v>
      </c>
      <c r="B52" s="18" t="s">
        <v>60</v>
      </c>
      <c r="C52" s="18" t="s">
        <v>223</v>
      </c>
      <c r="D52" s="21" t="n">
        <v>46277.3872222222</v>
      </c>
      <c r="E52" s="18" t="s">
        <v>170</v>
      </c>
      <c r="F52" s="23" t="n">
        <v>89.87</v>
      </c>
      <c r="G52" s="23" t="n">
        <v>6.41549295774648</v>
      </c>
      <c r="H52" s="21" t="n">
        <v>46290.8257523148</v>
      </c>
      <c r="I52" s="18" t="s">
        <v>170</v>
      </c>
      <c r="J52" s="23" t="n">
        <v>95.13</v>
      </c>
      <c r="K52" s="23" t="n">
        <v>1.1056338028169</v>
      </c>
      <c r="L52" s="29" t="n">
        <f aca="false">J52-F52</f>
        <v>5.25999999999999</v>
      </c>
      <c r="M52" s="29" t="n">
        <f aca="false">K52-G52</f>
        <v>-5.30985915492958</v>
      </c>
    </row>
    <row r="53" customFormat="false" ht="15" hidden="false" customHeight="false" outlineLevel="0" collapsed="false">
      <c r="A53" s="18" t="s">
        <v>59</v>
      </c>
      <c r="B53" s="18" t="s">
        <v>60</v>
      </c>
      <c r="C53" s="18" t="s">
        <v>224</v>
      </c>
      <c r="D53" s="21" t="n">
        <v>46277.7219907407</v>
      </c>
      <c r="E53" s="18" t="s">
        <v>170</v>
      </c>
      <c r="F53" s="23" t="n">
        <v>89.88</v>
      </c>
      <c r="G53" s="23" t="n">
        <v>5.91255868544601</v>
      </c>
      <c r="H53" s="21" t="n">
        <v>46290.8722337963</v>
      </c>
      <c r="I53" s="18" t="s">
        <v>170</v>
      </c>
      <c r="J53" s="23" t="n">
        <v>94.53</v>
      </c>
      <c r="K53" s="23" t="n">
        <v>1.12235915492958</v>
      </c>
      <c r="L53" s="29" t="n">
        <f aca="false">J53-F53</f>
        <v>4.65000000000001</v>
      </c>
      <c r="M53" s="29" t="n">
        <f aca="false">K53-G53</f>
        <v>-4.79019953051643</v>
      </c>
    </row>
    <row r="54" customFormat="false" ht="15" hidden="false" customHeight="false" outlineLevel="0" collapsed="false">
      <c r="A54" s="18" t="s">
        <v>59</v>
      </c>
      <c r="B54" s="18" t="s">
        <v>60</v>
      </c>
      <c r="C54" s="18" t="s">
        <v>225</v>
      </c>
      <c r="D54" s="21" t="n">
        <v>46277.5620601852</v>
      </c>
      <c r="E54" s="18" t="s">
        <v>170</v>
      </c>
      <c r="F54" s="23" t="n">
        <v>87</v>
      </c>
      <c r="G54" s="23" t="n">
        <v>6.50674882629108</v>
      </c>
      <c r="H54" s="21" t="n">
        <v>46292.5285416667</v>
      </c>
      <c r="I54" s="18" t="s">
        <v>170</v>
      </c>
      <c r="J54" s="23" t="n">
        <v>92.65</v>
      </c>
      <c r="K54" s="23" t="n">
        <v>1.04900234741784</v>
      </c>
      <c r="L54" s="29" t="n">
        <f aca="false">J54-F54</f>
        <v>5.65000000000001</v>
      </c>
      <c r="M54" s="29" t="n">
        <f aca="false">K54-G54</f>
        <v>-5.45774647887324</v>
      </c>
    </row>
    <row r="55" customFormat="false" ht="15" hidden="false" customHeight="false" outlineLevel="0" collapsed="false">
      <c r="A55" s="18" t="s">
        <v>59</v>
      </c>
      <c r="B55" s="18" t="s">
        <v>60</v>
      </c>
      <c r="C55" s="18" t="s">
        <v>226</v>
      </c>
      <c r="D55" s="21" t="n">
        <v>46277.6185763889</v>
      </c>
      <c r="E55" s="18" t="s">
        <v>170</v>
      </c>
      <c r="F55" s="23" t="n">
        <v>90.82</v>
      </c>
      <c r="G55" s="23" t="n">
        <v>5.92957746478873</v>
      </c>
      <c r="H55" s="21" t="n">
        <v>46292.5768287037</v>
      </c>
      <c r="I55" s="18" t="s">
        <v>170</v>
      </c>
      <c r="J55" s="23" t="n">
        <v>95.89</v>
      </c>
      <c r="K55" s="23" t="n">
        <v>1.13380281690141</v>
      </c>
      <c r="L55" s="29" t="n">
        <f aca="false">J55-F55</f>
        <v>5.07000000000001</v>
      </c>
      <c r="M55" s="29" t="n">
        <f aca="false">K55-G55</f>
        <v>-4.79577464788732</v>
      </c>
    </row>
    <row r="56" customFormat="false" ht="15" hidden="false" customHeight="false" outlineLevel="0" collapsed="false">
      <c r="A56" s="18" t="s">
        <v>59</v>
      </c>
      <c r="B56" s="18" t="s">
        <v>60</v>
      </c>
      <c r="C56" s="18" t="s">
        <v>227</v>
      </c>
      <c r="D56" s="21" t="n">
        <v>46277.1653472222</v>
      </c>
      <c r="E56" s="18" t="s">
        <v>170</v>
      </c>
      <c r="F56" s="23" t="n">
        <v>90.99</v>
      </c>
      <c r="G56" s="23" t="n">
        <v>5.04929577464789</v>
      </c>
      <c r="H56" s="21" t="n">
        <v>46292.6081365741</v>
      </c>
      <c r="I56" s="18" t="s">
        <v>199</v>
      </c>
      <c r="J56" s="23" t="n">
        <v>95.75</v>
      </c>
      <c r="K56" s="23" t="n">
        <v>0.253521126760563</v>
      </c>
      <c r="L56" s="29" t="n">
        <f aca="false">J56-F56</f>
        <v>4.76000000000001</v>
      </c>
      <c r="M56" s="29" t="n">
        <f aca="false">K56-G56</f>
        <v>-4.79577464788732</v>
      </c>
    </row>
    <row r="57" customFormat="false" ht="15" hidden="false" customHeight="false" outlineLevel="0" collapsed="false">
      <c r="A57" s="18" t="s">
        <v>59</v>
      </c>
      <c r="B57" s="18" t="s">
        <v>60</v>
      </c>
      <c r="C57" s="18" t="s">
        <v>228</v>
      </c>
      <c r="D57" s="21" t="n">
        <v>46277.7738541667</v>
      </c>
      <c r="E57" s="18" t="s">
        <v>170</v>
      </c>
      <c r="F57" s="23" t="n">
        <v>91.13</v>
      </c>
      <c r="G57" s="23" t="n">
        <v>5.74647887323944</v>
      </c>
      <c r="H57" s="21" t="n">
        <v>46292.6291782407</v>
      </c>
      <c r="I57" s="18" t="s">
        <v>170</v>
      </c>
      <c r="J57" s="23" t="n">
        <v>95.6</v>
      </c>
      <c r="K57" s="23" t="n">
        <v>1.29577464788732</v>
      </c>
      <c r="L57" s="29" t="n">
        <f aca="false">J57-F57</f>
        <v>4.47</v>
      </c>
      <c r="M57" s="29" t="n">
        <f aca="false">K57-G57</f>
        <v>-4.45070422535211</v>
      </c>
    </row>
    <row r="58" customFormat="false" ht="15" hidden="false" customHeight="false" outlineLevel="0" collapsed="false">
      <c r="A58" s="18" t="s">
        <v>59</v>
      </c>
      <c r="B58" s="18" t="s">
        <v>60</v>
      </c>
      <c r="C58" s="18" t="s">
        <v>229</v>
      </c>
      <c r="D58" s="21" t="n">
        <v>46277.826724537</v>
      </c>
      <c r="E58" s="18" t="s">
        <v>170</v>
      </c>
      <c r="F58" s="23" t="n">
        <v>90.96</v>
      </c>
      <c r="G58" s="23" t="n">
        <v>5.66901408450704</v>
      </c>
      <c r="H58" s="21" t="n">
        <v>46292.6681597222</v>
      </c>
      <c r="I58" s="18" t="s">
        <v>199</v>
      </c>
      <c r="J58" s="23" t="n">
        <v>96.25</v>
      </c>
      <c r="K58" s="23" t="n">
        <v>0.373239436619718</v>
      </c>
      <c r="L58" s="29" t="n">
        <f aca="false">J58-F58</f>
        <v>5.29000000000001</v>
      </c>
      <c r="M58" s="29" t="n">
        <f aca="false">K58-G58</f>
        <v>-5.29577464788732</v>
      </c>
    </row>
    <row r="59" customFormat="false" ht="15" hidden="false" customHeight="false" outlineLevel="0" collapsed="false">
      <c r="A59" s="18" t="s">
        <v>59</v>
      </c>
      <c r="B59" s="18" t="s">
        <v>60</v>
      </c>
      <c r="C59" s="18" t="s">
        <v>230</v>
      </c>
      <c r="D59" s="21" t="n">
        <v>46277.5109143519</v>
      </c>
      <c r="E59" s="18" t="s">
        <v>170</v>
      </c>
      <c r="F59" s="23" t="n">
        <v>90.39</v>
      </c>
      <c r="G59" s="23" t="n">
        <v>5.99295774647887</v>
      </c>
      <c r="H59" s="21" t="n">
        <v>46292.6770833333</v>
      </c>
      <c r="I59" s="18" t="s">
        <v>170</v>
      </c>
      <c r="J59" s="23" t="n">
        <v>95.58</v>
      </c>
      <c r="K59" s="23" t="n">
        <v>1.19014084507042</v>
      </c>
      <c r="L59" s="29" t="n">
        <f aca="false">J59-F59</f>
        <v>5.19</v>
      </c>
      <c r="M59" s="29" t="n">
        <f aca="false">K59-G59</f>
        <v>-4.80281690140845</v>
      </c>
    </row>
    <row r="60" customFormat="false" ht="15" hidden="false" customHeight="false" outlineLevel="0" collapsed="false">
      <c r="A60" s="18" t="s">
        <v>59</v>
      </c>
      <c r="B60" s="18" t="s">
        <v>60</v>
      </c>
      <c r="C60" s="18" t="s">
        <v>231</v>
      </c>
      <c r="D60" s="21" t="n">
        <v>46277.6708564815</v>
      </c>
      <c r="E60" s="18" t="s">
        <v>170</v>
      </c>
      <c r="F60" s="23" t="n">
        <v>89.28</v>
      </c>
      <c r="G60" s="23" t="n">
        <v>6.1056338028169</v>
      </c>
      <c r="H60" s="21" t="n">
        <v>46292.724849537</v>
      </c>
      <c r="I60" s="18" t="s">
        <v>170</v>
      </c>
      <c r="J60" s="23" t="n">
        <v>94.1</v>
      </c>
      <c r="K60" s="23" t="n">
        <v>1.33098591549296</v>
      </c>
      <c r="L60" s="29" t="n">
        <f aca="false">J60-F60</f>
        <v>4.81999999999999</v>
      </c>
      <c r="M60" s="29" t="n">
        <f aca="false">K60-G60</f>
        <v>-4.77464788732394</v>
      </c>
    </row>
    <row r="61" customFormat="false" ht="15" hidden="false" customHeight="false" outlineLevel="0" collapsed="false">
      <c r="A61" s="18" t="s">
        <v>59</v>
      </c>
      <c r="B61" s="18" t="s">
        <v>60</v>
      </c>
      <c r="C61" s="18" t="s">
        <v>232</v>
      </c>
      <c r="D61" s="21" t="n">
        <v>46277.2819097222</v>
      </c>
      <c r="E61" s="18" t="s">
        <v>170</v>
      </c>
      <c r="F61" s="23" t="n">
        <v>91.04</v>
      </c>
      <c r="G61" s="23" t="n">
        <v>6.20422535211268</v>
      </c>
      <c r="H61" s="21" t="n">
        <v>46292.7278125</v>
      </c>
      <c r="I61" s="18" t="s">
        <v>199</v>
      </c>
      <c r="J61" s="23" t="n">
        <v>96.87</v>
      </c>
      <c r="K61" s="23" t="n">
        <v>0.380281690140845</v>
      </c>
      <c r="L61" s="29" t="n">
        <f aca="false">J61-F61</f>
        <v>5.83</v>
      </c>
      <c r="M61" s="29" t="n">
        <f aca="false">K61-G61</f>
        <v>-5.82394366197183</v>
      </c>
    </row>
    <row r="62" customFormat="false" ht="15" hidden="false" customHeight="false" outlineLevel="0" collapsed="false">
      <c r="A62" s="18" t="s">
        <v>59</v>
      </c>
      <c r="B62" s="18" t="s">
        <v>60</v>
      </c>
      <c r="C62" s="18" t="s">
        <v>233</v>
      </c>
      <c r="D62" s="21" t="n">
        <v>46277.4426736111</v>
      </c>
      <c r="E62" s="18" t="s">
        <v>170</v>
      </c>
      <c r="F62" s="23" t="n">
        <v>90.87</v>
      </c>
      <c r="G62" s="23" t="n">
        <v>5.83920187793427</v>
      </c>
      <c r="H62" s="21" t="n">
        <v>46292.7849884259</v>
      </c>
      <c r="I62" s="18" t="s">
        <v>199</v>
      </c>
      <c r="J62" s="23" t="n">
        <v>96.43</v>
      </c>
      <c r="K62" s="23" t="n">
        <v>0.293427230046948</v>
      </c>
      <c r="L62" s="29" t="n">
        <f aca="false">J62-F62</f>
        <v>5.56</v>
      </c>
      <c r="M62" s="29" t="n">
        <f aca="false">K62-G62</f>
        <v>-5.54577464788733</v>
      </c>
    </row>
    <row r="63" customFormat="false" ht="15" hidden="false" customHeight="false" outlineLevel="0" collapsed="false">
      <c r="A63" s="18" t="s">
        <v>59</v>
      </c>
      <c r="B63" s="18" t="s">
        <v>60</v>
      </c>
      <c r="C63" s="18" t="s">
        <v>234</v>
      </c>
      <c r="D63" s="21" t="n">
        <v>46274.2476851852</v>
      </c>
      <c r="E63" s="18" t="s">
        <v>170</v>
      </c>
      <c r="F63" s="23" t="n">
        <v>87.96</v>
      </c>
      <c r="G63" s="23" t="n">
        <v>5.63380281690141</v>
      </c>
      <c r="H63" s="21" t="n">
        <v>46294.6619097222</v>
      </c>
      <c r="I63" s="18" t="s">
        <v>199</v>
      </c>
      <c r="J63" s="23" t="n">
        <v>91.99</v>
      </c>
      <c r="K63" s="23" t="n">
        <v>1.47183098591549</v>
      </c>
      <c r="L63" s="29" t="n">
        <f aca="false">J63-F63</f>
        <v>4.03</v>
      </c>
      <c r="M63" s="29" t="n">
        <f aca="false">K63-G63</f>
        <v>-4.16197183098592</v>
      </c>
    </row>
    <row r="64" customFormat="false" ht="15" hidden="false" customHeight="false" outlineLevel="0" collapsed="false">
      <c r="A64" s="18" t="s">
        <v>59</v>
      </c>
      <c r="B64" s="18" t="s">
        <v>60</v>
      </c>
      <c r="C64" s="18" t="s">
        <v>235</v>
      </c>
      <c r="D64" s="21" t="n">
        <v>46274.4559027778</v>
      </c>
      <c r="E64" s="18" t="s">
        <v>170</v>
      </c>
      <c r="F64" s="23" t="n">
        <v>87.64</v>
      </c>
      <c r="G64" s="23" t="n">
        <v>6.27464788732394</v>
      </c>
      <c r="H64" s="21" t="n">
        <v>46294.7253240741</v>
      </c>
      <c r="I64" s="18" t="s">
        <v>199</v>
      </c>
      <c r="J64" s="23" t="n">
        <v>92.04</v>
      </c>
      <c r="K64" s="23" t="n">
        <v>1.77464788732394</v>
      </c>
      <c r="L64" s="29" t="n">
        <f aca="false">J64-F64</f>
        <v>4.40000000000001</v>
      </c>
      <c r="M64" s="29" t="n">
        <f aca="false">K64-G64</f>
        <v>-4.5</v>
      </c>
    </row>
    <row r="65" customFormat="false" ht="15" hidden="false" customHeight="false" outlineLevel="0" collapsed="false">
      <c r="A65" s="18" t="s">
        <v>59</v>
      </c>
      <c r="B65" s="18" t="s">
        <v>60</v>
      </c>
      <c r="C65" s="18" t="s">
        <v>236</v>
      </c>
      <c r="D65" s="21" t="n">
        <v>46274.3513425926</v>
      </c>
      <c r="E65" s="18" t="s">
        <v>170</v>
      </c>
      <c r="F65" s="23" t="n">
        <v>86.65</v>
      </c>
      <c r="G65" s="23" t="n">
        <v>5.47887323943662</v>
      </c>
      <c r="H65" s="21" t="n">
        <v>46294.788599537</v>
      </c>
      <c r="I65" s="18" t="s">
        <v>199</v>
      </c>
      <c r="J65" s="23" t="n">
        <v>91.07</v>
      </c>
      <c r="K65" s="23" t="n">
        <v>1.04929577464789</v>
      </c>
      <c r="L65" s="29" t="n">
        <f aca="false">J65-F65</f>
        <v>4.41999999999999</v>
      </c>
      <c r="M65" s="29" t="n">
        <f aca="false">K65-G65</f>
        <v>-4.42957746478873</v>
      </c>
    </row>
    <row r="66" customFormat="false" ht="15" hidden="false" customHeight="false" outlineLevel="0" collapsed="false">
      <c r="A66" s="18" t="s">
        <v>59</v>
      </c>
      <c r="B66" s="18" t="s">
        <v>60</v>
      </c>
      <c r="C66" s="18" t="s">
        <v>237</v>
      </c>
      <c r="D66" s="21" t="n">
        <v>46274.4035416667</v>
      </c>
      <c r="E66" s="18" t="s">
        <v>170</v>
      </c>
      <c r="F66" s="23" t="n">
        <v>87.13</v>
      </c>
      <c r="G66" s="23" t="n">
        <v>5.92957746478873</v>
      </c>
      <c r="H66" s="21" t="n">
        <v>46294.8549189815</v>
      </c>
      <c r="I66" s="18" t="s">
        <v>199</v>
      </c>
      <c r="J66" s="23" t="n">
        <v>91.76</v>
      </c>
      <c r="K66" s="23" t="n">
        <v>1.27464788732394</v>
      </c>
      <c r="L66" s="29" t="n">
        <f aca="false">J66-F66</f>
        <v>4.63000000000001</v>
      </c>
      <c r="M66" s="29" t="n">
        <f aca="false">K66-G66</f>
        <v>-4.65492957746479</v>
      </c>
    </row>
    <row r="67" customFormat="false" ht="15" hidden="false" customHeight="false" outlineLevel="0" collapsed="false">
      <c r="A67" s="18" t="s">
        <v>193</v>
      </c>
      <c r="B67" s="18" t="s">
        <v>194</v>
      </c>
      <c r="C67" s="18" t="s">
        <v>238</v>
      </c>
      <c r="D67" s="21" t="n">
        <v>46275.6669212963</v>
      </c>
      <c r="E67" s="18" t="s">
        <v>170</v>
      </c>
      <c r="F67" s="23" t="n">
        <v>93.23</v>
      </c>
      <c r="G67" s="23" t="n">
        <v>5.55752212389381</v>
      </c>
      <c r="H67" s="21" t="n">
        <v>46294.9119675926</v>
      </c>
      <c r="I67" s="18" t="s">
        <v>170</v>
      </c>
      <c r="J67" s="23" t="n">
        <v>96.91</v>
      </c>
      <c r="K67" s="23" t="n">
        <v>1.89970501474926</v>
      </c>
      <c r="L67" s="29" t="n">
        <f aca="false">J67-F67</f>
        <v>3.67999999999999</v>
      </c>
      <c r="M67" s="29" t="n">
        <f aca="false">K67-G67</f>
        <v>-3.65781710914454</v>
      </c>
    </row>
    <row r="68" customFormat="false" ht="15" hidden="false" customHeight="false" outlineLevel="0" collapsed="false">
      <c r="A68" s="18" t="s">
        <v>193</v>
      </c>
      <c r="B68" s="18" t="s">
        <v>194</v>
      </c>
      <c r="C68" s="18" t="s">
        <v>239</v>
      </c>
      <c r="D68" s="21" t="n">
        <v>46278.2580671296</v>
      </c>
      <c r="E68" s="18" t="s">
        <v>170</v>
      </c>
      <c r="F68" s="23" t="n">
        <v>90.86</v>
      </c>
      <c r="G68" s="23" t="n">
        <v>6.14159292035398</v>
      </c>
      <c r="H68" s="21" t="n">
        <v>46294.9675925926</v>
      </c>
      <c r="I68" s="18" t="s">
        <v>170</v>
      </c>
      <c r="J68" s="23" t="n">
        <v>95.12</v>
      </c>
      <c r="K68" s="23" t="n">
        <v>1.99410029498525</v>
      </c>
      <c r="L68" s="29" t="n">
        <f aca="false">J68-F68</f>
        <v>4.26000000000001</v>
      </c>
      <c r="M68" s="29" t="n">
        <f aca="false">K68-G68</f>
        <v>-4.14749262536873</v>
      </c>
    </row>
    <row r="69" customFormat="false" ht="15" hidden="false" customHeight="false" outlineLevel="0" collapsed="false">
      <c r="A69" s="18" t="s">
        <v>193</v>
      </c>
      <c r="B69" s="18" t="s">
        <v>194</v>
      </c>
      <c r="C69" s="18" t="s">
        <v>240</v>
      </c>
      <c r="D69" s="21" t="n">
        <v>46278.1878819445</v>
      </c>
      <c r="E69" s="18" t="s">
        <v>170</v>
      </c>
      <c r="F69" s="23" t="n">
        <v>93.53</v>
      </c>
      <c r="G69" s="23" t="n">
        <v>5.46403236208009</v>
      </c>
      <c r="H69" s="21" t="n">
        <v>46295.0231134259</v>
      </c>
      <c r="I69" s="18" t="s">
        <v>170</v>
      </c>
      <c r="J69" s="23" t="n">
        <v>97.47</v>
      </c>
      <c r="K69" s="23" t="n">
        <v>1.57522123893805</v>
      </c>
      <c r="L69" s="29" t="n">
        <f aca="false">J69-F69</f>
        <v>3.94</v>
      </c>
      <c r="M69" s="29" t="n">
        <f aca="false">K69-G69</f>
        <v>-3.88881112314203</v>
      </c>
    </row>
    <row r="70" customFormat="false" ht="15" hidden="false" customHeight="false" outlineLevel="0" collapsed="false">
      <c r="A70" s="18" t="s">
        <v>59</v>
      </c>
      <c r="B70" s="18" t="s">
        <v>60</v>
      </c>
      <c r="C70" s="18" t="s">
        <v>241</v>
      </c>
      <c r="D70" s="21" t="n">
        <v>46274.5075925926</v>
      </c>
      <c r="E70" s="18" t="s">
        <v>170</v>
      </c>
      <c r="F70" s="23" t="n">
        <v>88.41</v>
      </c>
      <c r="G70" s="23" t="n">
        <v>5.33098591549296</v>
      </c>
      <c r="H70" s="21" t="n">
        <v>46295.6595717593</v>
      </c>
      <c r="I70" s="18" t="s">
        <v>199</v>
      </c>
      <c r="J70" s="23" t="n">
        <v>92.99</v>
      </c>
      <c r="K70" s="23" t="n">
        <v>0.859154929577465</v>
      </c>
      <c r="L70" s="29" t="n">
        <f aca="false">J70-F70</f>
        <v>4.58</v>
      </c>
      <c r="M70" s="29" t="n">
        <f aca="false">K70-G70</f>
        <v>-4.47183098591549</v>
      </c>
    </row>
    <row r="71" customFormat="false" ht="15" hidden="false" customHeight="false" outlineLevel="0" collapsed="false">
      <c r="A71" s="18" t="s">
        <v>59</v>
      </c>
      <c r="B71" s="18" t="s">
        <v>60</v>
      </c>
      <c r="C71" s="18" t="s">
        <v>242</v>
      </c>
      <c r="D71" s="21" t="n">
        <v>46274.9368634259</v>
      </c>
      <c r="E71" s="18" t="s">
        <v>170</v>
      </c>
      <c r="F71" s="23" t="n">
        <v>84.72</v>
      </c>
      <c r="G71" s="23" t="n">
        <v>6.95774647887324</v>
      </c>
      <c r="H71" s="21" t="n">
        <v>46295.7222569444</v>
      </c>
      <c r="I71" s="18" t="s">
        <v>199</v>
      </c>
      <c r="J71" s="23" t="n">
        <v>89.17</v>
      </c>
      <c r="K71" s="23" t="n">
        <v>2.32541079812207</v>
      </c>
      <c r="L71" s="29" t="n">
        <f aca="false">J71-F71</f>
        <v>4.45</v>
      </c>
      <c r="M71" s="29" t="n">
        <f aca="false">K71-G71</f>
        <v>-4.63233568075117</v>
      </c>
    </row>
    <row r="72" customFormat="false" ht="15" hidden="false" customHeight="false" outlineLevel="0" collapsed="false">
      <c r="A72" s="18" t="s">
        <v>59</v>
      </c>
      <c r="B72" s="18" t="s">
        <v>60</v>
      </c>
      <c r="C72" s="18" t="s">
        <v>243</v>
      </c>
      <c r="D72" s="21" t="n">
        <v>46274.6630787037</v>
      </c>
      <c r="E72" s="18" t="s">
        <v>170</v>
      </c>
      <c r="F72" s="23" t="n">
        <v>89.1</v>
      </c>
      <c r="G72" s="23" t="n">
        <v>5.59154929577465</v>
      </c>
      <c r="H72" s="21" t="n">
        <v>46295.7864467593</v>
      </c>
      <c r="I72" s="18" t="s">
        <v>199</v>
      </c>
      <c r="J72" s="23" t="n">
        <v>93.65</v>
      </c>
      <c r="K72" s="23" t="n">
        <v>1.05633802816901</v>
      </c>
      <c r="L72" s="29" t="n">
        <f aca="false">J72-F72</f>
        <v>4.55000000000001</v>
      </c>
      <c r="M72" s="29" t="n">
        <f aca="false">K72-G72</f>
        <v>-4.53521126760563</v>
      </c>
    </row>
    <row r="73" customFormat="false" ht="15" hidden="false" customHeight="false" outlineLevel="0" collapsed="false">
      <c r="A73" s="18" t="s">
        <v>59</v>
      </c>
      <c r="B73" s="18" t="s">
        <v>60</v>
      </c>
      <c r="C73" s="18" t="s">
        <v>244</v>
      </c>
      <c r="D73" s="21" t="n">
        <v>46274.9868865741</v>
      </c>
      <c r="E73" s="18" t="s">
        <v>170</v>
      </c>
      <c r="F73" s="23" t="n">
        <v>91.08</v>
      </c>
      <c r="G73" s="23" t="n">
        <v>4.97359154929578</v>
      </c>
      <c r="H73" s="21" t="n">
        <v>46295.8549537037</v>
      </c>
      <c r="I73" s="18" t="s">
        <v>199</v>
      </c>
      <c r="J73" s="23" t="n">
        <v>95.54</v>
      </c>
      <c r="K73" s="23" t="n">
        <v>0.484154929577465</v>
      </c>
      <c r="L73" s="29" t="n">
        <f aca="false">J73-F73</f>
        <v>4.46000000000001</v>
      </c>
      <c r="M73" s="29" t="n">
        <f aca="false">K73-G73</f>
        <v>-4.48943661971831</v>
      </c>
    </row>
    <row r="74" customFormat="false" ht="15" hidden="false" customHeight="false" outlineLevel="0" collapsed="false">
      <c r="A74" s="18" t="s">
        <v>59</v>
      </c>
      <c r="B74" s="18" t="s">
        <v>60</v>
      </c>
      <c r="C74" s="18" t="s">
        <v>245</v>
      </c>
      <c r="D74" s="21" t="n">
        <v>46274.1953356482</v>
      </c>
      <c r="E74" s="18" t="s">
        <v>170</v>
      </c>
      <c r="F74" s="23" t="n">
        <v>89.36</v>
      </c>
      <c r="G74" s="23" t="n">
        <v>5.07746478873239</v>
      </c>
      <c r="H74" s="21" t="n">
        <v>46295.9196990741</v>
      </c>
      <c r="I74" s="18" t="s">
        <v>199</v>
      </c>
      <c r="J74" s="23" t="n">
        <v>93.16</v>
      </c>
      <c r="K74" s="23" t="n">
        <v>1.26760563380282</v>
      </c>
      <c r="L74" s="29" t="n">
        <f aca="false">J74-F74</f>
        <v>3.8</v>
      </c>
      <c r="M74" s="29" t="n">
        <f aca="false">K74-G74</f>
        <v>-3.80985915492958</v>
      </c>
    </row>
    <row r="75" customFormat="false" ht="15" hidden="false" customHeight="false" outlineLevel="0" collapsed="false">
      <c r="A75" s="18" t="s">
        <v>59</v>
      </c>
      <c r="B75" s="18" t="s">
        <v>60</v>
      </c>
      <c r="C75" s="18" t="s">
        <v>246</v>
      </c>
      <c r="D75" s="21" t="n">
        <v>46279.8551967593</v>
      </c>
      <c r="E75" s="18" t="s">
        <v>170</v>
      </c>
      <c r="F75" s="23" t="n">
        <v>91.82</v>
      </c>
      <c r="G75" s="23" t="n">
        <v>5.3943661971831</v>
      </c>
      <c r="H75" s="21" t="n">
        <v>46296.0624074074</v>
      </c>
      <c r="I75" s="18" t="s">
        <v>170</v>
      </c>
      <c r="J75" s="23" t="n">
        <v>95.9</v>
      </c>
      <c r="K75" s="23" t="n">
        <v>1.29577464788732</v>
      </c>
      <c r="L75" s="29" t="n">
        <f aca="false">J75-F75</f>
        <v>4.08000000000001</v>
      </c>
      <c r="M75" s="29" t="n">
        <f aca="false">K75-G75</f>
        <v>-4.09859154929578</v>
      </c>
    </row>
    <row r="76" customFormat="false" ht="15" hidden="false" customHeight="false" outlineLevel="0" collapsed="false">
      <c r="A76" s="18" t="s">
        <v>59</v>
      </c>
      <c r="B76" s="18" t="s">
        <v>60</v>
      </c>
      <c r="C76" s="18" t="s">
        <v>247</v>
      </c>
      <c r="D76" s="21" t="n">
        <v>46279.9072453704</v>
      </c>
      <c r="E76" s="18" t="s">
        <v>170</v>
      </c>
      <c r="F76" s="23" t="n">
        <v>92.05</v>
      </c>
      <c r="G76" s="23" t="n">
        <v>5.55633802816901</v>
      </c>
      <c r="H76" s="21" t="n">
        <v>46296.1113541667</v>
      </c>
      <c r="I76" s="18" t="s">
        <v>170</v>
      </c>
      <c r="J76" s="23" t="n">
        <v>96.45</v>
      </c>
      <c r="K76" s="23" t="n">
        <v>1.1056338028169</v>
      </c>
      <c r="L76" s="29" t="n">
        <f aca="false">J76-F76</f>
        <v>4.40000000000001</v>
      </c>
      <c r="M76" s="29" t="n">
        <f aca="false">K76-G76</f>
        <v>-4.45070422535211</v>
      </c>
    </row>
    <row r="77" customFormat="false" ht="15" hidden="false" customHeight="false" outlineLevel="0" collapsed="false">
      <c r="A77" s="18" t="s">
        <v>59</v>
      </c>
      <c r="B77" s="18" t="s">
        <v>60</v>
      </c>
      <c r="C77" s="18" t="s">
        <v>248</v>
      </c>
      <c r="D77" s="21" t="n">
        <v>46275.7219212963</v>
      </c>
      <c r="E77" s="18" t="s">
        <v>170</v>
      </c>
      <c r="F77" s="23" t="n">
        <v>89.72</v>
      </c>
      <c r="G77" s="23" t="n">
        <v>5.04225352112676</v>
      </c>
      <c r="H77" s="21" t="n">
        <v>46296.3180671296</v>
      </c>
      <c r="I77" s="18" t="s">
        <v>199</v>
      </c>
      <c r="J77" s="23" t="n">
        <v>93.74</v>
      </c>
      <c r="K77" s="23" t="n">
        <v>1.11971830985916</v>
      </c>
      <c r="L77" s="29" t="n">
        <f aca="false">J77-F77</f>
        <v>4.02</v>
      </c>
      <c r="M77" s="29" t="n">
        <f aca="false">K77-G77</f>
        <v>-3.92253521126761</v>
      </c>
    </row>
    <row r="78" customFormat="false" ht="15" hidden="false" customHeight="false" outlineLevel="0" collapsed="false">
      <c r="A78" s="18" t="s">
        <v>59</v>
      </c>
      <c r="B78" s="18" t="s">
        <v>60</v>
      </c>
      <c r="C78" s="18" t="s">
        <v>249</v>
      </c>
      <c r="D78" s="21" t="n">
        <v>46274.5598611111</v>
      </c>
      <c r="E78" s="18" t="s">
        <v>170</v>
      </c>
      <c r="F78" s="23" t="n">
        <v>89.72</v>
      </c>
      <c r="G78" s="23" t="n">
        <v>5.40140845070423</v>
      </c>
      <c r="H78" s="21" t="n">
        <v>46296.3830208333</v>
      </c>
      <c r="I78" s="18" t="s">
        <v>199</v>
      </c>
      <c r="J78" s="23" t="n">
        <v>94.06</v>
      </c>
      <c r="K78" s="23" t="n">
        <v>1.09859154929578</v>
      </c>
      <c r="L78" s="29" t="n">
        <f aca="false">J78-F78</f>
        <v>4.34</v>
      </c>
      <c r="M78" s="29" t="n">
        <f aca="false">K78-G78</f>
        <v>-4.30281690140845</v>
      </c>
    </row>
    <row r="79" customFormat="false" ht="15" hidden="false" customHeight="false" outlineLevel="0" collapsed="false">
      <c r="A79" s="18" t="s">
        <v>59</v>
      </c>
      <c r="B79" s="18" t="s">
        <v>60</v>
      </c>
      <c r="C79" s="18" t="s">
        <v>250</v>
      </c>
      <c r="D79" s="21" t="n">
        <v>46274.7149074074</v>
      </c>
      <c r="E79" s="18" t="s">
        <v>170</v>
      </c>
      <c r="F79" s="23" t="n">
        <v>90.65</v>
      </c>
      <c r="G79" s="23" t="n">
        <v>5.04929577464789</v>
      </c>
      <c r="H79" s="21" t="n">
        <v>46296.4544907407</v>
      </c>
      <c r="I79" s="18" t="s">
        <v>199</v>
      </c>
      <c r="J79" s="23" t="n">
        <v>95.19</v>
      </c>
      <c r="K79" s="23" t="n">
        <v>0.584507042253521</v>
      </c>
      <c r="L79" s="29" t="n">
        <f aca="false">J79-F79</f>
        <v>4.53999999999999</v>
      </c>
      <c r="M79" s="29" t="n">
        <f aca="false">K79-G79</f>
        <v>-4.46478873239437</v>
      </c>
    </row>
    <row r="80" customFormat="false" ht="15" hidden="false" customHeight="false" outlineLevel="0" collapsed="false">
      <c r="A80" s="18" t="s">
        <v>59</v>
      </c>
      <c r="B80" s="18" t="s">
        <v>60</v>
      </c>
      <c r="C80" s="18" t="s">
        <v>251</v>
      </c>
      <c r="D80" s="21" t="n">
        <v>46275.8259722222</v>
      </c>
      <c r="E80" s="18" t="s">
        <v>170</v>
      </c>
      <c r="F80" s="23" t="n">
        <v>88.54</v>
      </c>
      <c r="G80" s="23" t="n">
        <v>6.33802816901408</v>
      </c>
      <c r="H80" s="21" t="n">
        <v>46298.4527893519</v>
      </c>
      <c r="I80" s="18" t="s">
        <v>199</v>
      </c>
      <c r="J80" s="23" t="n">
        <v>92.15</v>
      </c>
      <c r="K80" s="23" t="n">
        <v>2.69014084507042</v>
      </c>
      <c r="L80" s="29" t="n">
        <f aca="false">J80-F80</f>
        <v>3.61</v>
      </c>
      <c r="M80" s="29" t="n">
        <f aca="false">K80-G80</f>
        <v>-3.64788732394366</v>
      </c>
    </row>
    <row r="81" customFormat="false" ht="15" hidden="false" customHeight="false" outlineLevel="0" collapsed="false">
      <c r="A81" s="18" t="s">
        <v>59</v>
      </c>
      <c r="B81" s="18" t="s">
        <v>60</v>
      </c>
      <c r="C81" s="18" t="s">
        <v>252</v>
      </c>
      <c r="D81" s="21" t="n">
        <v>46275.7738773148</v>
      </c>
      <c r="E81" s="18" t="s">
        <v>170</v>
      </c>
      <c r="F81" s="23" t="n">
        <v>87.54</v>
      </c>
      <c r="G81" s="23" t="n">
        <v>5.77464788732394</v>
      </c>
      <c r="H81" s="21" t="n">
        <v>46298.5225115741</v>
      </c>
      <c r="I81" s="18" t="s">
        <v>199</v>
      </c>
      <c r="J81" s="23" t="n">
        <v>90.55</v>
      </c>
      <c r="K81" s="23" t="n">
        <v>2.56338028169014</v>
      </c>
      <c r="L81" s="29" t="n">
        <f aca="false">J81-F81</f>
        <v>3.00999999999999</v>
      </c>
      <c r="M81" s="29" t="n">
        <f aca="false">K81-G81</f>
        <v>-3.2112676056338</v>
      </c>
    </row>
    <row r="82" customFormat="false" ht="15" hidden="false" customHeight="false" outlineLevel="0" collapsed="false">
      <c r="A82" s="18" t="s">
        <v>59</v>
      </c>
      <c r="B82" s="18" t="s">
        <v>60</v>
      </c>
      <c r="C82" s="18" t="s">
        <v>253</v>
      </c>
      <c r="D82" s="21" t="n">
        <v>46275.8774421296</v>
      </c>
      <c r="E82" s="18" t="s">
        <v>170</v>
      </c>
      <c r="F82" s="23" t="n">
        <v>84.3</v>
      </c>
      <c r="G82" s="23" t="n">
        <v>7.58450704225352</v>
      </c>
      <c r="H82" s="21" t="n">
        <v>46298.5908796296</v>
      </c>
      <c r="I82" s="18" t="s">
        <v>199</v>
      </c>
      <c r="J82" s="23" t="n">
        <v>87.02</v>
      </c>
      <c r="K82" s="23" t="n">
        <v>4.54929577464789</v>
      </c>
      <c r="L82" s="29" t="n">
        <f aca="false">J82-F82</f>
        <v>2.72</v>
      </c>
      <c r="M82" s="29" t="n">
        <f aca="false">K82-G82</f>
        <v>-3.03521126760564</v>
      </c>
    </row>
  </sheetData>
  <autoFilter ref="A1:M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2026-10-05T05:36:36Z</dcterms:created>
  <dc:creator>openpyxl</dc:creator>
  <dc:description/>
  <dc:language>en-US</dc:language>
  <cp:lastModifiedBy/>
  <dcterms:modified xsi:type="dcterms:W3CDTF">2026-10-05T05:36:36Z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